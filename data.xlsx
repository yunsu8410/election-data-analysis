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윤수연\OneDrive\바탕 화면\의회정치론\"/>
    </mc:Choice>
  </mc:AlternateContent>
  <xr:revisionPtr revIDLastSave="0" documentId="13_ncr:1_{8AD3E21A-57FB-4D26-ADFB-107003BD4341}" xr6:coauthVersionLast="47" xr6:coauthVersionMax="47" xr10:uidLastSave="{00000000-0000-0000-0000-000000000000}"/>
  <bookViews>
    <workbookView xWindow="12710" yWindow="0" windowWidth="12980" windowHeight="15370" firstSheet="1" activeTab="1" xr2:uid="{00000000-000D-0000-FFFF-FFFF00000000}"/>
  </bookViews>
  <sheets>
    <sheet name="Sheet2" sheetId="2" r:id="rId1"/>
    <sheet name="의정론 사전투표 데이터_제주까지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84" i="1" l="1"/>
  <c r="J385" i="1"/>
  <c r="J384" i="1"/>
  <c r="N444" i="1"/>
  <c r="N442" i="1"/>
  <c r="N440" i="1"/>
  <c r="N438" i="1"/>
  <c r="K444" i="1"/>
  <c r="K442" i="1"/>
  <c r="K440" i="1"/>
  <c r="K438" i="1"/>
  <c r="H444" i="1"/>
  <c r="H442" i="1"/>
  <c r="H440" i="1"/>
  <c r="H438" i="1"/>
  <c r="F445" i="1"/>
  <c r="F444" i="1"/>
  <c r="M443" i="1"/>
  <c r="M442" i="1"/>
  <c r="J443" i="1"/>
  <c r="J442" i="1"/>
  <c r="G443" i="1"/>
  <c r="G442" i="1"/>
  <c r="F443" i="1"/>
  <c r="F442" i="1"/>
  <c r="M441" i="1"/>
  <c r="M440" i="1"/>
  <c r="J441" i="1"/>
  <c r="J440" i="1"/>
  <c r="G441" i="1"/>
  <c r="G440" i="1"/>
  <c r="F441" i="1"/>
  <c r="F440" i="1"/>
  <c r="F439" i="1"/>
  <c r="F438" i="1"/>
  <c r="N508" i="1"/>
  <c r="N506" i="1"/>
  <c r="N504" i="1"/>
  <c r="N502" i="1"/>
  <c r="N500" i="1"/>
  <c r="N498" i="1"/>
  <c r="N496" i="1"/>
  <c r="N494" i="1"/>
  <c r="N492" i="1"/>
  <c r="N490" i="1"/>
  <c r="N488" i="1"/>
  <c r="K508" i="1"/>
  <c r="K506" i="1"/>
  <c r="K504" i="1"/>
  <c r="K502" i="1"/>
  <c r="K500" i="1"/>
  <c r="K498" i="1"/>
  <c r="K496" i="1"/>
  <c r="K494" i="1"/>
  <c r="K492" i="1"/>
  <c r="K490" i="1"/>
  <c r="K488" i="1"/>
  <c r="H508" i="1"/>
  <c r="H506" i="1"/>
  <c r="H504" i="1"/>
  <c r="H502" i="1"/>
  <c r="H500" i="1"/>
  <c r="H498" i="1"/>
  <c r="H496" i="1"/>
  <c r="H494" i="1"/>
  <c r="H492" i="1"/>
  <c r="H490" i="1"/>
  <c r="H488" i="1"/>
  <c r="M509" i="1"/>
  <c r="M508" i="1"/>
  <c r="J509" i="1"/>
  <c r="J508" i="1"/>
  <c r="G509" i="1"/>
  <c r="G508" i="1"/>
  <c r="F508" i="1"/>
  <c r="F509" i="1"/>
  <c r="F507" i="1"/>
  <c r="F506" i="1"/>
  <c r="M505" i="1"/>
  <c r="M504" i="1"/>
  <c r="J505" i="1"/>
  <c r="J504" i="1"/>
  <c r="G505" i="1"/>
  <c r="G504" i="1"/>
  <c r="F505" i="1"/>
  <c r="F504" i="1"/>
  <c r="G502" i="1"/>
  <c r="M503" i="1"/>
  <c r="M502" i="1"/>
  <c r="J503" i="1"/>
  <c r="J502" i="1"/>
  <c r="F503" i="1"/>
  <c r="F502" i="1"/>
  <c r="M501" i="1"/>
  <c r="M500" i="1"/>
  <c r="J501" i="1"/>
  <c r="J500" i="1"/>
  <c r="G501" i="1"/>
  <c r="G500" i="1"/>
  <c r="F500" i="1"/>
  <c r="F501" i="1"/>
  <c r="F499" i="1"/>
  <c r="F498" i="1"/>
  <c r="F497" i="1"/>
  <c r="F496" i="1"/>
  <c r="M495" i="1"/>
  <c r="M494" i="1"/>
  <c r="J495" i="1"/>
  <c r="J494" i="1"/>
  <c r="G495" i="1"/>
  <c r="G494" i="1"/>
  <c r="F495" i="1"/>
  <c r="F494" i="1"/>
  <c r="M493" i="1"/>
  <c r="M492" i="1"/>
  <c r="J493" i="1"/>
  <c r="J492" i="1"/>
  <c r="G492" i="1"/>
  <c r="G493" i="1"/>
  <c r="F493" i="1"/>
  <c r="F492" i="1"/>
  <c r="M491" i="1"/>
  <c r="M490" i="1"/>
  <c r="J491" i="1"/>
  <c r="J490" i="1"/>
  <c r="G491" i="1"/>
  <c r="G490" i="1"/>
  <c r="F491" i="1"/>
  <c r="F490" i="1"/>
  <c r="F489" i="1"/>
  <c r="F488" i="1"/>
  <c r="N464" i="1"/>
  <c r="K464" i="1"/>
  <c r="N486" i="1"/>
  <c r="N484" i="1"/>
  <c r="N482" i="1"/>
  <c r="N480" i="1"/>
  <c r="N478" i="1"/>
  <c r="N476" i="1"/>
  <c r="N474" i="1"/>
  <c r="N472" i="1"/>
  <c r="N470" i="1"/>
  <c r="K486" i="1"/>
  <c r="K484" i="1"/>
  <c r="K482" i="1"/>
  <c r="K480" i="1"/>
  <c r="K478" i="1"/>
  <c r="K476" i="1"/>
  <c r="K474" i="1"/>
  <c r="K472" i="1"/>
  <c r="K470" i="1"/>
  <c r="H486" i="1"/>
  <c r="H484" i="1"/>
  <c r="H482" i="1"/>
  <c r="H480" i="1"/>
  <c r="H478" i="1"/>
  <c r="H476" i="1"/>
  <c r="H474" i="1"/>
  <c r="H472" i="1"/>
  <c r="H470" i="1"/>
  <c r="H464" i="1"/>
  <c r="M487" i="1"/>
  <c r="J487" i="1"/>
  <c r="F487" i="1"/>
  <c r="M486" i="1"/>
  <c r="J486" i="1"/>
  <c r="F486" i="1"/>
  <c r="G486" i="1" s="1"/>
  <c r="F484" i="1"/>
  <c r="F485" i="1"/>
  <c r="M483" i="1"/>
  <c r="M482" i="1"/>
  <c r="J483" i="1"/>
  <c r="J482" i="1"/>
  <c r="G483" i="1"/>
  <c r="G482" i="1"/>
  <c r="F483" i="1"/>
  <c r="F482" i="1"/>
  <c r="M481" i="1"/>
  <c r="M480" i="1"/>
  <c r="J481" i="1"/>
  <c r="J480" i="1"/>
  <c r="G481" i="1"/>
  <c r="G480" i="1"/>
  <c r="F481" i="1"/>
  <c r="F480" i="1"/>
  <c r="M479" i="1"/>
  <c r="M478" i="1"/>
  <c r="J479" i="1"/>
  <c r="J478" i="1"/>
  <c r="G479" i="1"/>
  <c r="G478" i="1"/>
  <c r="F479" i="1"/>
  <c r="F478" i="1"/>
  <c r="M477" i="1"/>
  <c r="M476" i="1"/>
  <c r="J476" i="1"/>
  <c r="J477" i="1"/>
  <c r="G476" i="1"/>
  <c r="G477" i="1"/>
  <c r="F477" i="1"/>
  <c r="F476" i="1"/>
  <c r="F475" i="1"/>
  <c r="F474" i="1"/>
  <c r="M473" i="1"/>
  <c r="M472" i="1"/>
  <c r="J473" i="1"/>
  <c r="J472" i="1"/>
  <c r="G473" i="1"/>
  <c r="G472" i="1"/>
  <c r="F473" i="1"/>
  <c r="F472" i="1"/>
  <c r="F471" i="1"/>
  <c r="F470" i="1"/>
  <c r="F465" i="1"/>
  <c r="F464" i="1"/>
  <c r="N462" i="1"/>
  <c r="N460" i="1"/>
  <c r="K462" i="1"/>
  <c r="K460" i="1"/>
  <c r="H462" i="1"/>
  <c r="H460" i="1"/>
  <c r="F463" i="1"/>
  <c r="F462" i="1"/>
  <c r="M461" i="1"/>
  <c r="M460" i="1"/>
  <c r="J461" i="1"/>
  <c r="J460" i="1"/>
  <c r="G461" i="1"/>
  <c r="G460" i="1"/>
  <c r="F461" i="1"/>
  <c r="F460" i="1"/>
  <c r="N458" i="1"/>
  <c r="N456" i="1"/>
  <c r="N454" i="1"/>
  <c r="N452" i="1"/>
  <c r="N450" i="1"/>
  <c r="N448" i="1"/>
  <c r="N446" i="1"/>
  <c r="K458" i="1"/>
  <c r="K456" i="1"/>
  <c r="K454" i="1"/>
  <c r="K452" i="1"/>
  <c r="K450" i="1"/>
  <c r="K448" i="1"/>
  <c r="K446" i="1"/>
  <c r="H458" i="1"/>
  <c r="H456" i="1"/>
  <c r="H454" i="1"/>
  <c r="H452" i="1"/>
  <c r="H450" i="1"/>
  <c r="H448" i="1"/>
  <c r="H446" i="1"/>
  <c r="N436" i="1"/>
  <c r="N434" i="1"/>
  <c r="N432" i="1"/>
  <c r="N430" i="1"/>
  <c r="N428" i="1"/>
  <c r="N426" i="1"/>
  <c r="N424" i="1"/>
  <c r="N422" i="1"/>
  <c r="N420" i="1"/>
  <c r="N418" i="1"/>
  <c r="N416" i="1"/>
  <c r="N414" i="1"/>
  <c r="K436" i="1"/>
  <c r="K434" i="1"/>
  <c r="K432" i="1"/>
  <c r="K430" i="1"/>
  <c r="K428" i="1"/>
  <c r="K426" i="1"/>
  <c r="K424" i="1"/>
  <c r="K422" i="1"/>
  <c r="K420" i="1"/>
  <c r="K418" i="1"/>
  <c r="K416" i="1"/>
  <c r="K414" i="1"/>
  <c r="H436" i="1"/>
  <c r="H434" i="1"/>
  <c r="H432" i="1"/>
  <c r="H430" i="1"/>
  <c r="H428" i="1"/>
  <c r="H426" i="1"/>
  <c r="H424" i="1"/>
  <c r="H422" i="1"/>
  <c r="H420" i="1"/>
  <c r="H418" i="1"/>
  <c r="H416" i="1"/>
  <c r="H414" i="1"/>
  <c r="F459" i="1"/>
  <c r="F458" i="1"/>
  <c r="M457" i="1"/>
  <c r="M456" i="1"/>
  <c r="J457" i="1"/>
  <c r="J456" i="1"/>
  <c r="G457" i="1"/>
  <c r="G456" i="1"/>
  <c r="F457" i="1"/>
  <c r="F456" i="1"/>
  <c r="F455" i="1"/>
  <c r="F454" i="1"/>
  <c r="F453" i="1"/>
  <c r="F452" i="1"/>
  <c r="F451" i="1"/>
  <c r="F450" i="1"/>
  <c r="M449" i="1"/>
  <c r="M448" i="1"/>
  <c r="J449" i="1"/>
  <c r="J448" i="1"/>
  <c r="G449" i="1"/>
  <c r="G448" i="1"/>
  <c r="F449" i="1"/>
  <c r="F448" i="1"/>
  <c r="F446" i="1"/>
  <c r="F447" i="1"/>
  <c r="F437" i="1"/>
  <c r="F436" i="1"/>
  <c r="F435" i="1"/>
  <c r="F434" i="1"/>
  <c r="F433" i="1"/>
  <c r="F432" i="1"/>
  <c r="F431" i="1"/>
  <c r="F430" i="1"/>
  <c r="M429" i="1"/>
  <c r="M428" i="1"/>
  <c r="J428" i="1"/>
  <c r="J429" i="1"/>
  <c r="G429" i="1"/>
  <c r="G428" i="1"/>
  <c r="F429" i="1"/>
  <c r="F428" i="1"/>
  <c r="F427" i="1"/>
  <c r="F426" i="1"/>
  <c r="M425" i="1"/>
  <c r="M424" i="1"/>
  <c r="J425" i="1"/>
  <c r="J424" i="1"/>
  <c r="G425" i="1"/>
  <c r="G424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H160" i="1"/>
  <c r="N410" i="1"/>
  <c r="N408" i="1"/>
  <c r="N406" i="1"/>
  <c r="N412" i="1"/>
  <c r="K410" i="1"/>
  <c r="K412" i="1"/>
  <c r="K408" i="1"/>
  <c r="K406" i="1"/>
  <c r="H412" i="1"/>
  <c r="H410" i="1"/>
  <c r="H408" i="1"/>
  <c r="H406" i="1"/>
  <c r="M413" i="1"/>
  <c r="M412" i="1"/>
  <c r="J413" i="1"/>
  <c r="J412" i="1"/>
  <c r="G413" i="1"/>
  <c r="G412" i="1"/>
  <c r="F413" i="1"/>
  <c r="F412" i="1"/>
  <c r="F411" i="1"/>
  <c r="F410" i="1"/>
  <c r="F409" i="1"/>
  <c r="F408" i="1"/>
  <c r="F407" i="1"/>
  <c r="F406" i="1"/>
  <c r="N396" i="1"/>
  <c r="N398" i="1"/>
  <c r="N400" i="1"/>
  <c r="N404" i="1"/>
  <c r="N402" i="1"/>
  <c r="N394" i="1"/>
  <c r="N392" i="1"/>
  <c r="N390" i="1"/>
  <c r="N388" i="1"/>
  <c r="N386" i="1"/>
  <c r="N384" i="1"/>
  <c r="N382" i="1"/>
  <c r="N380" i="1"/>
  <c r="N378" i="1"/>
  <c r="N376" i="1"/>
  <c r="N374" i="1"/>
  <c r="N372" i="1"/>
  <c r="N370" i="1"/>
  <c r="N368" i="1"/>
  <c r="N366" i="1"/>
  <c r="N364" i="1"/>
  <c r="N362" i="1"/>
  <c r="N360" i="1"/>
  <c r="N358" i="1"/>
  <c r="N356" i="1"/>
  <c r="N354" i="1"/>
  <c r="N352" i="1"/>
  <c r="N350" i="1"/>
  <c r="N348" i="1"/>
  <c r="N346" i="1"/>
  <c r="N344" i="1"/>
  <c r="N342" i="1"/>
  <c r="N340" i="1"/>
  <c r="N338" i="1"/>
  <c r="N336" i="1"/>
  <c r="N334" i="1"/>
  <c r="N332" i="1"/>
  <c r="N330" i="1"/>
  <c r="N328" i="1"/>
  <c r="N326" i="1"/>
  <c r="N324" i="1"/>
  <c r="N322" i="1"/>
  <c r="N320" i="1"/>
  <c r="N318" i="1"/>
  <c r="N316" i="1"/>
  <c r="N314" i="1"/>
  <c r="N312" i="1"/>
  <c r="N310" i="1"/>
  <c r="N308" i="1"/>
  <c r="N306" i="1"/>
  <c r="N304" i="1"/>
  <c r="N302" i="1"/>
  <c r="N300" i="1"/>
  <c r="N298" i="1"/>
  <c r="N296" i="1"/>
  <c r="N294" i="1"/>
  <c r="N292" i="1"/>
  <c r="N290" i="1"/>
  <c r="N288" i="1"/>
  <c r="N286" i="1"/>
  <c r="N284" i="1"/>
  <c r="N282" i="1"/>
  <c r="N280" i="1"/>
  <c r="N278" i="1"/>
  <c r="N276" i="1"/>
  <c r="N274" i="1"/>
  <c r="N272" i="1"/>
  <c r="N270" i="1"/>
  <c r="N268" i="1"/>
  <c r="N266" i="1"/>
  <c r="N264" i="1"/>
  <c r="N262" i="1"/>
  <c r="N260" i="1"/>
  <c r="N258" i="1"/>
  <c r="N256" i="1"/>
  <c r="N254" i="1"/>
  <c r="N252" i="1"/>
  <c r="N250" i="1"/>
  <c r="N248" i="1"/>
  <c r="N246" i="1"/>
  <c r="N244" i="1"/>
  <c r="N242" i="1"/>
  <c r="N240" i="1"/>
  <c r="N238" i="1"/>
  <c r="N236" i="1"/>
  <c r="N234" i="1"/>
  <c r="N232" i="1"/>
  <c r="N230" i="1"/>
  <c r="N226" i="1"/>
  <c r="N222" i="1"/>
  <c r="N220" i="1"/>
  <c r="N218" i="1"/>
  <c r="N216" i="1"/>
  <c r="N214" i="1"/>
  <c r="N212" i="1"/>
  <c r="N210" i="1"/>
  <c r="N208" i="1"/>
  <c r="N206" i="1"/>
  <c r="N204" i="1"/>
  <c r="N202" i="1"/>
  <c r="K404" i="1"/>
  <c r="K402" i="1"/>
  <c r="J402" i="1"/>
  <c r="K400" i="1"/>
  <c r="K398" i="1"/>
  <c r="K396" i="1"/>
  <c r="K394" i="1"/>
  <c r="K392" i="1"/>
  <c r="K390" i="1"/>
  <c r="K388" i="1"/>
  <c r="K386" i="1"/>
  <c r="K382" i="1"/>
  <c r="K380" i="1"/>
  <c r="K378" i="1"/>
  <c r="K376" i="1"/>
  <c r="K374" i="1"/>
  <c r="K372" i="1"/>
  <c r="K370" i="1"/>
  <c r="K368" i="1"/>
  <c r="K366" i="1"/>
  <c r="K364" i="1"/>
  <c r="K362" i="1"/>
  <c r="K360" i="1"/>
  <c r="K358" i="1"/>
  <c r="K356" i="1"/>
  <c r="K354" i="1"/>
  <c r="K352" i="1"/>
  <c r="K350" i="1"/>
  <c r="K348" i="1"/>
  <c r="K346" i="1"/>
  <c r="K344" i="1"/>
  <c r="K342" i="1"/>
  <c r="K340" i="1"/>
  <c r="K338" i="1"/>
  <c r="K336" i="1"/>
  <c r="K334" i="1"/>
  <c r="K332" i="1"/>
  <c r="K330" i="1"/>
  <c r="K328" i="1"/>
  <c r="K326" i="1"/>
  <c r="K324" i="1"/>
  <c r="K322" i="1"/>
  <c r="K320" i="1"/>
  <c r="K318" i="1"/>
  <c r="K316" i="1"/>
  <c r="K314" i="1"/>
  <c r="K312" i="1"/>
  <c r="K310" i="1"/>
  <c r="K308" i="1"/>
  <c r="K306" i="1"/>
  <c r="K304" i="1"/>
  <c r="K302" i="1"/>
  <c r="K300" i="1"/>
  <c r="K298" i="1"/>
  <c r="K296" i="1"/>
  <c r="K294" i="1"/>
  <c r="K292" i="1"/>
  <c r="K290" i="1"/>
  <c r="K288" i="1"/>
  <c r="K286" i="1"/>
  <c r="K284" i="1"/>
  <c r="K282" i="1"/>
  <c r="K280" i="1"/>
  <c r="K278" i="1"/>
  <c r="K276" i="1"/>
  <c r="K274" i="1"/>
  <c r="K272" i="1"/>
  <c r="K270" i="1"/>
  <c r="K268" i="1"/>
  <c r="K266" i="1"/>
  <c r="K264" i="1"/>
  <c r="K262" i="1"/>
  <c r="K260" i="1"/>
  <c r="K258" i="1"/>
  <c r="K256" i="1"/>
  <c r="J256" i="1"/>
  <c r="K254" i="1"/>
  <c r="K252" i="1"/>
  <c r="K250" i="1"/>
  <c r="K248" i="1"/>
  <c r="K246" i="1"/>
  <c r="K244" i="1"/>
  <c r="K242" i="1"/>
  <c r="K240" i="1"/>
  <c r="K238" i="1"/>
  <c r="K236" i="1"/>
  <c r="K234" i="1"/>
  <c r="K232" i="1"/>
  <c r="K230" i="1"/>
  <c r="K226" i="1"/>
  <c r="K222" i="1"/>
  <c r="K220" i="1"/>
  <c r="K218" i="1"/>
  <c r="K216" i="1"/>
  <c r="K214" i="1"/>
  <c r="K212" i="1"/>
  <c r="K210" i="1"/>
  <c r="K208" i="1"/>
  <c r="K206" i="1"/>
  <c r="K204" i="1"/>
  <c r="K202" i="1"/>
  <c r="H404" i="1"/>
  <c r="H402" i="1"/>
  <c r="H400" i="1"/>
  <c r="H398" i="1"/>
  <c r="H396" i="1"/>
  <c r="H394" i="1"/>
  <c r="H392" i="1"/>
  <c r="H390" i="1"/>
  <c r="H388" i="1"/>
  <c r="H386" i="1"/>
  <c r="H384" i="1"/>
  <c r="H382" i="1"/>
  <c r="H380" i="1"/>
  <c r="H378" i="1"/>
  <c r="H376" i="1"/>
  <c r="H374" i="1"/>
  <c r="H372" i="1"/>
  <c r="H370" i="1"/>
  <c r="H368" i="1"/>
  <c r="H366" i="1"/>
  <c r="H364" i="1"/>
  <c r="H362" i="1"/>
  <c r="H360" i="1"/>
  <c r="H358" i="1"/>
  <c r="H356" i="1"/>
  <c r="H354" i="1"/>
  <c r="H352" i="1"/>
  <c r="H350" i="1"/>
  <c r="H348" i="1"/>
  <c r="H346" i="1"/>
  <c r="H344" i="1"/>
  <c r="H342" i="1"/>
  <c r="H340" i="1"/>
  <c r="H338" i="1"/>
  <c r="H336" i="1"/>
  <c r="H334" i="1"/>
  <c r="H332" i="1"/>
  <c r="H330" i="1"/>
  <c r="H328" i="1"/>
  <c r="H326" i="1"/>
  <c r="H324" i="1"/>
  <c r="H322" i="1"/>
  <c r="H320" i="1"/>
  <c r="H318" i="1"/>
  <c r="H316" i="1"/>
  <c r="H314" i="1"/>
  <c r="H312" i="1"/>
  <c r="H310" i="1"/>
  <c r="H308" i="1"/>
  <c r="H306" i="1"/>
  <c r="H304" i="1"/>
  <c r="H302" i="1"/>
  <c r="H300" i="1"/>
  <c r="H298" i="1"/>
  <c r="H296" i="1"/>
  <c r="H294" i="1"/>
  <c r="H292" i="1"/>
  <c r="H290" i="1"/>
  <c r="H288" i="1"/>
  <c r="H286" i="1"/>
  <c r="H284" i="1"/>
  <c r="H282" i="1"/>
  <c r="H280" i="1"/>
  <c r="H278" i="1"/>
  <c r="H276" i="1"/>
  <c r="H274" i="1"/>
  <c r="H272" i="1"/>
  <c r="H270" i="1"/>
  <c r="H268" i="1"/>
  <c r="H266" i="1"/>
  <c r="H264" i="1"/>
  <c r="H262" i="1"/>
  <c r="H260" i="1"/>
  <c r="H258" i="1"/>
  <c r="H256" i="1"/>
  <c r="H254" i="1"/>
  <c r="H252" i="1"/>
  <c r="H250" i="1"/>
  <c r="H248" i="1"/>
  <c r="H246" i="1"/>
  <c r="H244" i="1"/>
  <c r="H242" i="1"/>
  <c r="H240" i="1"/>
  <c r="H238" i="1"/>
  <c r="H236" i="1"/>
  <c r="H234" i="1"/>
  <c r="H232" i="1"/>
  <c r="H230" i="1"/>
  <c r="H226" i="1"/>
  <c r="H222" i="1"/>
  <c r="H220" i="1"/>
  <c r="H218" i="1"/>
  <c r="H216" i="1"/>
  <c r="H214" i="1"/>
  <c r="H212" i="1"/>
  <c r="H210" i="1"/>
  <c r="H208" i="1"/>
  <c r="H206" i="1"/>
  <c r="H204" i="1"/>
  <c r="H202" i="1"/>
  <c r="M405" i="1"/>
  <c r="M404" i="1"/>
  <c r="J405" i="1"/>
  <c r="J404" i="1"/>
  <c r="G405" i="1"/>
  <c r="G404" i="1"/>
  <c r="F405" i="1"/>
  <c r="F404" i="1"/>
  <c r="M403" i="1"/>
  <c r="M402" i="1"/>
  <c r="J403" i="1"/>
  <c r="G403" i="1"/>
  <c r="G402" i="1"/>
  <c r="F403" i="1"/>
  <c r="F402" i="1"/>
  <c r="F401" i="1"/>
  <c r="F400" i="1"/>
  <c r="M399" i="1"/>
  <c r="M398" i="1"/>
  <c r="J399" i="1"/>
  <c r="J398" i="1"/>
  <c r="G399" i="1"/>
  <c r="G398" i="1"/>
  <c r="F399" i="1"/>
  <c r="F398" i="1"/>
  <c r="M397" i="1"/>
  <c r="M396" i="1"/>
  <c r="J397" i="1"/>
  <c r="J396" i="1"/>
  <c r="G397" i="1"/>
  <c r="G396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M383" i="1"/>
  <c r="M382" i="1"/>
  <c r="J383" i="1"/>
  <c r="J382" i="1"/>
  <c r="G383" i="1"/>
  <c r="G382" i="1"/>
  <c r="F383" i="1"/>
  <c r="F382" i="1"/>
  <c r="M381" i="1"/>
  <c r="M380" i="1"/>
  <c r="J381" i="1"/>
  <c r="J380" i="1"/>
  <c r="G381" i="1"/>
  <c r="G380" i="1"/>
  <c r="F381" i="1"/>
  <c r="F380" i="1"/>
  <c r="F379" i="1"/>
  <c r="F378" i="1"/>
  <c r="M377" i="1"/>
  <c r="M376" i="1"/>
  <c r="J377" i="1"/>
  <c r="J376" i="1"/>
  <c r="G377" i="1"/>
  <c r="G376" i="1"/>
  <c r="F377" i="1"/>
  <c r="F376" i="1"/>
  <c r="M375" i="1"/>
  <c r="M374" i="1"/>
  <c r="J375" i="1"/>
  <c r="J374" i="1"/>
  <c r="G375" i="1"/>
  <c r="G374" i="1"/>
  <c r="F375" i="1"/>
  <c r="F374" i="1"/>
  <c r="F373" i="1"/>
  <c r="F372" i="1"/>
  <c r="M370" i="1"/>
  <c r="M371" i="1"/>
  <c r="J371" i="1"/>
  <c r="J370" i="1"/>
  <c r="G371" i="1"/>
  <c r="G370" i="1"/>
  <c r="F371" i="1"/>
  <c r="F370" i="1"/>
  <c r="F369" i="1"/>
  <c r="F368" i="1"/>
  <c r="M367" i="1"/>
  <c r="M366" i="1"/>
  <c r="J367" i="1"/>
  <c r="J366" i="1"/>
  <c r="G367" i="1"/>
  <c r="G366" i="1"/>
  <c r="F367" i="1"/>
  <c r="F366" i="1"/>
  <c r="M364" i="1"/>
  <c r="M365" i="1"/>
  <c r="J365" i="1"/>
  <c r="J364" i="1"/>
  <c r="G365" i="1"/>
  <c r="G364" i="1"/>
  <c r="F365" i="1"/>
  <c r="F364" i="1"/>
  <c r="F363" i="1"/>
  <c r="F362" i="1"/>
  <c r="F361" i="1"/>
  <c r="F360" i="1"/>
  <c r="M359" i="1"/>
  <c r="M358" i="1"/>
  <c r="J359" i="1"/>
  <c r="J358" i="1"/>
  <c r="G359" i="1"/>
  <c r="G358" i="1"/>
  <c r="F359" i="1"/>
  <c r="F358" i="1"/>
  <c r="M357" i="1"/>
  <c r="M356" i="1"/>
  <c r="J357" i="1"/>
  <c r="J356" i="1"/>
  <c r="G357" i="1"/>
  <c r="G356" i="1"/>
  <c r="F357" i="1"/>
  <c r="F356" i="1"/>
  <c r="F355" i="1"/>
  <c r="F354" i="1"/>
  <c r="F353" i="1"/>
  <c r="F352" i="1"/>
  <c r="M351" i="1"/>
  <c r="M350" i="1"/>
  <c r="J351" i="1"/>
  <c r="J350" i="1"/>
  <c r="G351" i="1"/>
  <c r="G350" i="1"/>
  <c r="F351" i="1"/>
  <c r="F350" i="1"/>
  <c r="F349" i="1"/>
  <c r="F348" i="1"/>
  <c r="M347" i="1"/>
  <c r="M346" i="1"/>
  <c r="J347" i="1"/>
  <c r="J346" i="1"/>
  <c r="G347" i="1"/>
  <c r="G346" i="1"/>
  <c r="F347" i="1"/>
  <c r="F346" i="1"/>
  <c r="M345" i="1"/>
  <c r="M344" i="1"/>
  <c r="J345" i="1"/>
  <c r="J344" i="1"/>
  <c r="G345" i="1"/>
  <c r="G344" i="1"/>
  <c r="F345" i="1"/>
  <c r="F344" i="1"/>
  <c r="F343" i="1"/>
  <c r="F342" i="1"/>
  <c r="F341" i="1"/>
  <c r="F340" i="1"/>
  <c r="F339" i="1"/>
  <c r="F338" i="1"/>
  <c r="M337" i="1"/>
  <c r="M336" i="1"/>
  <c r="J337" i="1"/>
  <c r="J336" i="1"/>
  <c r="G337" i="1"/>
  <c r="G336" i="1"/>
  <c r="F337" i="1"/>
  <c r="F336" i="1"/>
  <c r="M335" i="1"/>
  <c r="M334" i="1"/>
  <c r="J335" i="1"/>
  <c r="J334" i="1"/>
  <c r="G335" i="1"/>
  <c r="G334" i="1"/>
  <c r="F335" i="1"/>
  <c r="F334" i="1"/>
  <c r="M333" i="1"/>
  <c r="M332" i="1"/>
  <c r="J333" i="1"/>
  <c r="J332" i="1"/>
  <c r="G333" i="1"/>
  <c r="G332" i="1"/>
  <c r="F333" i="1"/>
  <c r="F332" i="1"/>
  <c r="F331" i="1"/>
  <c r="F330" i="1"/>
  <c r="M329" i="1"/>
  <c r="M328" i="1"/>
  <c r="J329" i="1"/>
  <c r="J328" i="1"/>
  <c r="G329" i="1"/>
  <c r="G328" i="1"/>
  <c r="F329" i="1"/>
  <c r="F328" i="1"/>
  <c r="M327" i="1"/>
  <c r="M326" i="1"/>
  <c r="J327" i="1"/>
  <c r="J326" i="1"/>
  <c r="G327" i="1"/>
  <c r="G326" i="1"/>
  <c r="F327" i="1"/>
  <c r="F326" i="1"/>
  <c r="M325" i="1"/>
  <c r="M324" i="1"/>
  <c r="J325" i="1"/>
  <c r="J324" i="1"/>
  <c r="G325" i="1"/>
  <c r="G324" i="1"/>
  <c r="F325" i="1"/>
  <c r="F324" i="1"/>
  <c r="F323" i="1"/>
  <c r="F322" i="1"/>
  <c r="M321" i="1"/>
  <c r="M320" i="1"/>
  <c r="J321" i="1"/>
  <c r="J320" i="1"/>
  <c r="G321" i="1"/>
  <c r="G320" i="1"/>
  <c r="F321" i="1"/>
  <c r="F320" i="1"/>
  <c r="F319" i="1"/>
  <c r="F318" i="1"/>
  <c r="F317" i="1"/>
  <c r="F316" i="1"/>
  <c r="F315" i="1"/>
  <c r="F314" i="1"/>
  <c r="M313" i="1"/>
  <c r="M312" i="1"/>
  <c r="J313" i="1"/>
  <c r="J312" i="1"/>
  <c r="G313" i="1"/>
  <c r="G312" i="1"/>
  <c r="F313" i="1"/>
  <c r="F312" i="1"/>
  <c r="M311" i="1"/>
  <c r="M310" i="1"/>
  <c r="J311" i="1"/>
  <c r="J310" i="1"/>
  <c r="G311" i="1"/>
  <c r="G310" i="1"/>
  <c r="F311" i="1"/>
  <c r="F310" i="1"/>
  <c r="F308" i="1"/>
  <c r="F309" i="1"/>
  <c r="F307" i="1"/>
  <c r="F306" i="1"/>
  <c r="M304" i="1"/>
  <c r="M305" i="1"/>
  <c r="J304" i="1"/>
  <c r="J305" i="1"/>
  <c r="G305" i="1"/>
  <c r="G304" i="1"/>
  <c r="F305" i="1"/>
  <c r="F304" i="1"/>
  <c r="F303" i="1"/>
  <c r="F302" i="1"/>
  <c r="F301" i="1"/>
  <c r="F300" i="1"/>
  <c r="F299" i="1"/>
  <c r="F298" i="1"/>
  <c r="F297" i="1"/>
  <c r="F296" i="1"/>
  <c r="M295" i="1"/>
  <c r="M294" i="1"/>
  <c r="J295" i="1"/>
  <c r="J294" i="1"/>
  <c r="G295" i="1"/>
  <c r="G294" i="1"/>
  <c r="F295" i="1"/>
  <c r="F294" i="1"/>
  <c r="M293" i="1"/>
  <c r="M292" i="1"/>
  <c r="J293" i="1"/>
  <c r="J292" i="1"/>
  <c r="G293" i="1"/>
  <c r="G292" i="1"/>
  <c r="F293" i="1"/>
  <c r="F292" i="1"/>
  <c r="M291" i="1"/>
  <c r="M290" i="1"/>
  <c r="J291" i="1"/>
  <c r="J290" i="1"/>
  <c r="G291" i="1"/>
  <c r="G290" i="1"/>
  <c r="F291" i="1"/>
  <c r="F290" i="1"/>
  <c r="F289" i="1"/>
  <c r="F288" i="1"/>
  <c r="F287" i="1"/>
  <c r="F286" i="1"/>
  <c r="F285" i="1"/>
  <c r="F284" i="1"/>
  <c r="F283" i="1"/>
  <c r="F282" i="1"/>
  <c r="M281" i="1"/>
  <c r="M280" i="1"/>
  <c r="J281" i="1"/>
  <c r="J280" i="1"/>
  <c r="G281" i="1"/>
  <c r="G280" i="1"/>
  <c r="F281" i="1"/>
  <c r="F280" i="1"/>
  <c r="M279" i="1"/>
  <c r="M278" i="1"/>
  <c r="J279" i="1"/>
  <c r="J278" i="1"/>
  <c r="G279" i="1"/>
  <c r="G278" i="1"/>
  <c r="F279" i="1"/>
  <c r="F278" i="1"/>
  <c r="M277" i="1"/>
  <c r="M276" i="1"/>
  <c r="J277" i="1"/>
  <c r="J276" i="1"/>
  <c r="G277" i="1"/>
  <c r="G276" i="1"/>
  <c r="F277" i="1"/>
  <c r="F276" i="1"/>
  <c r="F275" i="1"/>
  <c r="F274" i="1"/>
  <c r="M273" i="1"/>
  <c r="M272" i="1"/>
  <c r="J273" i="1"/>
  <c r="J272" i="1"/>
  <c r="G273" i="1"/>
  <c r="G272" i="1"/>
  <c r="F273" i="1"/>
  <c r="F272" i="1"/>
  <c r="M271" i="1"/>
  <c r="M270" i="1"/>
  <c r="J270" i="1"/>
  <c r="J271" i="1"/>
  <c r="G271" i="1"/>
  <c r="G270" i="1"/>
  <c r="F271" i="1"/>
  <c r="F270" i="1"/>
  <c r="M269" i="1"/>
  <c r="M268" i="1"/>
  <c r="J269" i="1"/>
  <c r="J268" i="1"/>
  <c r="G269" i="1"/>
  <c r="G268" i="1"/>
  <c r="F269" i="1"/>
  <c r="F268" i="1"/>
  <c r="M267" i="1"/>
  <c r="M266" i="1"/>
  <c r="J267" i="1"/>
  <c r="J266" i="1"/>
  <c r="G267" i="1"/>
  <c r="G266" i="1"/>
  <c r="F267" i="1"/>
  <c r="F266" i="1"/>
  <c r="F265" i="1"/>
  <c r="F264" i="1"/>
  <c r="F263" i="1"/>
  <c r="F262" i="1"/>
  <c r="M261" i="1"/>
  <c r="M260" i="1"/>
  <c r="J261" i="1"/>
  <c r="J260" i="1"/>
  <c r="G261" i="1"/>
  <c r="G260" i="1"/>
  <c r="F261" i="1"/>
  <c r="F260" i="1"/>
  <c r="M259" i="1"/>
  <c r="M258" i="1"/>
  <c r="J259" i="1"/>
  <c r="J258" i="1"/>
  <c r="G259" i="1"/>
  <c r="G258" i="1"/>
  <c r="F259" i="1"/>
  <c r="F258" i="1"/>
  <c r="M257" i="1"/>
  <c r="M256" i="1"/>
  <c r="J257" i="1"/>
  <c r="G257" i="1"/>
  <c r="G256" i="1"/>
  <c r="F257" i="1"/>
  <c r="F256" i="1"/>
  <c r="M255" i="1"/>
  <c r="M254" i="1"/>
  <c r="J255" i="1"/>
  <c r="J254" i="1"/>
  <c r="G255" i="1"/>
  <c r="G254" i="1"/>
  <c r="F255" i="1"/>
  <c r="F254" i="1"/>
  <c r="M253" i="1"/>
  <c r="M252" i="1"/>
  <c r="J253" i="1"/>
  <c r="J252" i="1"/>
  <c r="G253" i="1"/>
  <c r="G252" i="1"/>
  <c r="F253" i="1"/>
  <c r="F252" i="1"/>
  <c r="F251" i="1"/>
  <c r="F250" i="1"/>
  <c r="M249" i="1"/>
  <c r="M248" i="1"/>
  <c r="J249" i="1"/>
  <c r="J248" i="1"/>
  <c r="G248" i="1"/>
  <c r="G249" i="1"/>
  <c r="F249" i="1"/>
  <c r="F248" i="1"/>
  <c r="M247" i="1"/>
  <c r="M246" i="1"/>
  <c r="J247" i="1"/>
  <c r="J246" i="1"/>
  <c r="G247" i="1"/>
  <c r="G246" i="1"/>
  <c r="F247" i="1"/>
  <c r="F246" i="1"/>
  <c r="M245" i="1"/>
  <c r="M244" i="1"/>
  <c r="J245" i="1"/>
  <c r="J244" i="1"/>
  <c r="G245" i="1"/>
  <c r="G244" i="1"/>
  <c r="F245" i="1"/>
  <c r="F244" i="1"/>
  <c r="M243" i="1"/>
  <c r="M242" i="1"/>
  <c r="J243" i="1"/>
  <c r="J242" i="1"/>
  <c r="F243" i="1"/>
  <c r="G243" i="1" s="1"/>
  <c r="F242" i="1"/>
  <c r="G242" i="1" s="1"/>
  <c r="M241" i="1"/>
  <c r="M240" i="1"/>
  <c r="J241" i="1"/>
  <c r="J240" i="1"/>
  <c r="F241" i="1"/>
  <c r="G241" i="1" s="1"/>
  <c r="F240" i="1"/>
  <c r="G240" i="1" s="1"/>
  <c r="M239" i="1"/>
  <c r="M238" i="1"/>
  <c r="J239" i="1"/>
  <c r="J238" i="1"/>
  <c r="F239" i="1"/>
  <c r="G239" i="1" s="1"/>
  <c r="F238" i="1"/>
  <c r="G238" i="1" s="1"/>
  <c r="M237" i="1"/>
  <c r="M236" i="1"/>
  <c r="J237" i="1"/>
  <c r="J236" i="1"/>
  <c r="F237" i="1"/>
  <c r="G237" i="1" s="1"/>
  <c r="F236" i="1"/>
  <c r="G236" i="1" s="1"/>
  <c r="M235" i="1"/>
  <c r="M234" i="1"/>
  <c r="J235" i="1"/>
  <c r="J234" i="1"/>
  <c r="F235" i="1"/>
  <c r="G235" i="1" s="1"/>
  <c r="F234" i="1"/>
  <c r="G234" i="1" s="1"/>
  <c r="F233" i="1"/>
  <c r="F232" i="1"/>
  <c r="F231" i="1"/>
  <c r="F230" i="1"/>
  <c r="M227" i="1"/>
  <c r="M226" i="1"/>
  <c r="J227" i="1"/>
  <c r="J226" i="1"/>
  <c r="F227" i="1"/>
  <c r="F226" i="1"/>
  <c r="G227" i="1" s="1"/>
  <c r="F222" i="1"/>
  <c r="F223" i="1"/>
  <c r="M221" i="1"/>
  <c r="M220" i="1"/>
  <c r="J220" i="1"/>
  <c r="J221" i="1"/>
  <c r="F221" i="1"/>
  <c r="G221" i="1" s="1"/>
  <c r="F220" i="1"/>
  <c r="G220" i="1" s="1"/>
  <c r="F219" i="1"/>
  <c r="F218" i="1"/>
  <c r="M217" i="1"/>
  <c r="M216" i="1"/>
  <c r="J217" i="1"/>
  <c r="J216" i="1"/>
  <c r="F217" i="1"/>
  <c r="G217" i="1" s="1"/>
  <c r="F216" i="1"/>
  <c r="G216" i="1" s="1"/>
  <c r="F215" i="1"/>
  <c r="F214" i="1"/>
  <c r="F213" i="1"/>
  <c r="F212" i="1"/>
  <c r="G503" i="1" l="1"/>
  <c r="G487" i="1"/>
  <c r="G226" i="1"/>
  <c r="F211" i="1"/>
  <c r="F210" i="1"/>
  <c r="F209" i="1"/>
  <c r="F208" i="1"/>
  <c r="F207" i="1"/>
  <c r="F206" i="1"/>
  <c r="M205" i="1"/>
  <c r="M204" i="1"/>
  <c r="J205" i="1"/>
  <c r="J204" i="1"/>
  <c r="F205" i="1"/>
  <c r="F204" i="1"/>
  <c r="G205" i="1" s="1"/>
  <c r="F203" i="1"/>
  <c r="F202" i="1"/>
  <c r="N8" i="1"/>
  <c r="N200" i="1"/>
  <c r="N198" i="1"/>
  <c r="N196" i="1"/>
  <c r="N194" i="1"/>
  <c r="N192" i="1"/>
  <c r="N190" i="1"/>
  <c r="N188" i="1"/>
  <c r="N184" i="1"/>
  <c r="N180" i="1"/>
  <c r="N178" i="1"/>
  <c r="N176" i="1"/>
  <c r="N174" i="1"/>
  <c r="N168" i="1"/>
  <c r="N164" i="1"/>
  <c r="N158" i="1"/>
  <c r="N146" i="1"/>
  <c r="N144" i="1"/>
  <c r="N142" i="1"/>
  <c r="N134" i="1"/>
  <c r="N128" i="1"/>
  <c r="N124" i="1"/>
  <c r="N120" i="1"/>
  <c r="N114" i="1"/>
  <c r="N110" i="1"/>
  <c r="N108" i="1"/>
  <c r="N106" i="1"/>
  <c r="N104" i="1"/>
  <c r="N102" i="1"/>
  <c r="N100" i="1"/>
  <c r="N98" i="1"/>
  <c r="N96" i="1"/>
  <c r="N94" i="1"/>
  <c r="N88" i="1"/>
  <c r="N86" i="1"/>
  <c r="N46" i="1"/>
  <c r="N30" i="1"/>
  <c r="N14" i="1"/>
  <c r="N12" i="1"/>
  <c r="N6" i="1"/>
  <c r="N2" i="1"/>
  <c r="H200" i="1"/>
  <c r="H198" i="1"/>
  <c r="H196" i="1"/>
  <c r="H194" i="1"/>
  <c r="H192" i="1"/>
  <c r="H190" i="1"/>
  <c r="H188" i="1"/>
  <c r="H184" i="1"/>
  <c r="H180" i="1"/>
  <c r="H178" i="1"/>
  <c r="H174" i="1"/>
  <c r="H168" i="1"/>
  <c r="H164" i="1"/>
  <c r="H158" i="1"/>
  <c r="H146" i="1"/>
  <c r="H144" i="1"/>
  <c r="H142" i="1"/>
  <c r="H134" i="1"/>
  <c r="H128" i="1"/>
  <c r="H120" i="1"/>
  <c r="H114" i="1"/>
  <c r="H110" i="1"/>
  <c r="H106" i="1"/>
  <c r="H104" i="1"/>
  <c r="H98" i="1"/>
  <c r="H96" i="1"/>
  <c r="H94" i="1"/>
  <c r="K200" i="1"/>
  <c r="K198" i="1"/>
  <c r="K196" i="1"/>
  <c r="K194" i="1"/>
  <c r="K192" i="1"/>
  <c r="K190" i="1"/>
  <c r="K188" i="1"/>
  <c r="K186" i="1"/>
  <c r="K184" i="1"/>
  <c r="K182" i="1"/>
  <c r="K180" i="1"/>
  <c r="K178" i="1"/>
  <c r="K174" i="1"/>
  <c r="K172" i="1"/>
  <c r="K168" i="1"/>
  <c r="K166" i="1"/>
  <c r="K164" i="1"/>
  <c r="K158" i="1"/>
  <c r="K146" i="1"/>
  <c r="K144" i="1"/>
  <c r="K142" i="1"/>
  <c r="K134" i="1"/>
  <c r="K132" i="1"/>
  <c r="K130" i="1"/>
  <c r="K128" i="1"/>
  <c r="K124" i="1"/>
  <c r="K120" i="1"/>
  <c r="K116" i="1"/>
  <c r="K114" i="1"/>
  <c r="K110" i="1"/>
  <c r="K108" i="1"/>
  <c r="K106" i="1"/>
  <c r="K104" i="1"/>
  <c r="K98" i="1"/>
  <c r="K96" i="1"/>
  <c r="K94" i="1"/>
  <c r="K88" i="1"/>
  <c r="K86" i="1"/>
  <c r="K76" i="1"/>
  <c r="K70" i="1"/>
  <c r="K68" i="1"/>
  <c r="K66" i="1"/>
  <c r="K54" i="1"/>
  <c r="K50" i="1"/>
  <c r="K48" i="1"/>
  <c r="K46" i="1"/>
  <c r="K42" i="1"/>
  <c r="K40" i="1"/>
  <c r="K36" i="1"/>
  <c r="K30" i="1"/>
  <c r="K28" i="1"/>
  <c r="K22" i="1"/>
  <c r="K14" i="1"/>
  <c r="K12" i="1"/>
  <c r="K8" i="1"/>
  <c r="K6" i="1"/>
  <c r="K2" i="1"/>
  <c r="J93" i="1"/>
  <c r="H86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M187" i="1"/>
  <c r="N186" i="1" s="1"/>
  <c r="M186" i="1"/>
  <c r="J187" i="1"/>
  <c r="J186" i="1"/>
  <c r="F187" i="1"/>
  <c r="G186" i="1" s="1"/>
  <c r="F186" i="1"/>
  <c r="F200" i="1"/>
  <c r="F201" i="1"/>
  <c r="F181" i="1"/>
  <c r="F180" i="1"/>
  <c r="F179" i="1"/>
  <c r="F178" i="1"/>
  <c r="M177" i="1"/>
  <c r="M176" i="1"/>
  <c r="J177" i="1"/>
  <c r="K176" i="1" s="1"/>
  <c r="J176" i="1"/>
  <c r="F177" i="1"/>
  <c r="G177" i="1" s="1"/>
  <c r="H176" i="1" s="1"/>
  <c r="F176" i="1"/>
  <c r="G176" i="1" s="1"/>
  <c r="F175" i="1"/>
  <c r="F174" i="1"/>
  <c r="M173" i="1"/>
  <c r="N172" i="1" s="1"/>
  <c r="M172" i="1"/>
  <c r="J173" i="1"/>
  <c r="J172" i="1"/>
  <c r="F173" i="1"/>
  <c r="G172" i="1" s="1"/>
  <c r="F172" i="1"/>
  <c r="F185" i="1"/>
  <c r="F184" i="1"/>
  <c r="F183" i="1"/>
  <c r="F182" i="1"/>
  <c r="G183" i="1" s="1"/>
  <c r="J182" i="1"/>
  <c r="J183" i="1"/>
  <c r="M183" i="1"/>
  <c r="N182" i="1" s="1"/>
  <c r="M182" i="1"/>
  <c r="M171" i="1"/>
  <c r="N170" i="1" s="1"/>
  <c r="M170" i="1"/>
  <c r="J171" i="1"/>
  <c r="J170" i="1"/>
  <c r="K170" i="1" s="1"/>
  <c r="F171" i="1"/>
  <c r="G171" i="1" s="1"/>
  <c r="H170" i="1" s="1"/>
  <c r="F170" i="1"/>
  <c r="G170" i="1" s="1"/>
  <c r="F168" i="1"/>
  <c r="F169" i="1"/>
  <c r="M166" i="1"/>
  <c r="M167" i="1"/>
  <c r="N166" i="1" s="1"/>
  <c r="J167" i="1"/>
  <c r="J166" i="1"/>
  <c r="G167" i="1"/>
  <c r="H166" i="1" s="1"/>
  <c r="G166" i="1"/>
  <c r="F165" i="1"/>
  <c r="F164" i="1"/>
  <c r="M163" i="1"/>
  <c r="N162" i="1" s="1"/>
  <c r="M162" i="1"/>
  <c r="J163" i="1"/>
  <c r="K162" i="1" s="1"/>
  <c r="J162" i="1"/>
  <c r="G163" i="1"/>
  <c r="H162" i="1" s="1"/>
  <c r="G162" i="1"/>
  <c r="F163" i="1"/>
  <c r="F162" i="1"/>
  <c r="G160" i="1"/>
  <c r="J161" i="1"/>
  <c r="K160" i="1" s="1"/>
  <c r="J160" i="1"/>
  <c r="M161" i="1"/>
  <c r="N160" i="1" s="1"/>
  <c r="M160" i="1"/>
  <c r="F161" i="1"/>
  <c r="G161" i="1" s="1"/>
  <c r="F160" i="1"/>
  <c r="F159" i="1"/>
  <c r="F158" i="1"/>
  <c r="M157" i="1"/>
  <c r="N156" i="1" s="1"/>
  <c r="M156" i="1"/>
  <c r="J157" i="1"/>
  <c r="K156" i="1" s="1"/>
  <c r="J156" i="1"/>
  <c r="F157" i="1"/>
  <c r="G157" i="1" s="1"/>
  <c r="F156" i="1"/>
  <c r="G156" i="1" s="1"/>
  <c r="M152" i="1"/>
  <c r="M153" i="1"/>
  <c r="N152" i="1" s="1"/>
  <c r="J152" i="1"/>
  <c r="J153" i="1"/>
  <c r="K152" i="1" s="1"/>
  <c r="F153" i="1"/>
  <c r="G153" i="1" s="1"/>
  <c r="H152" i="1" s="1"/>
  <c r="F152" i="1"/>
  <c r="G152" i="1" s="1"/>
  <c r="M151" i="1"/>
  <c r="N150" i="1" s="1"/>
  <c r="M150" i="1"/>
  <c r="J151" i="1"/>
  <c r="K150" i="1" s="1"/>
  <c r="J150" i="1"/>
  <c r="F151" i="1"/>
  <c r="G151" i="1" s="1"/>
  <c r="F150" i="1"/>
  <c r="G150" i="1" s="1"/>
  <c r="F147" i="1"/>
  <c r="F146" i="1"/>
  <c r="F145" i="1"/>
  <c r="F144" i="1"/>
  <c r="F143" i="1"/>
  <c r="F142" i="1"/>
  <c r="G136" i="1"/>
  <c r="J137" i="1"/>
  <c r="K136" i="1" s="1"/>
  <c r="J136" i="1"/>
  <c r="M137" i="1"/>
  <c r="N136" i="1" s="1"/>
  <c r="M136" i="1"/>
  <c r="F137" i="1"/>
  <c r="G137" i="1" s="1"/>
  <c r="H136" i="1" s="1"/>
  <c r="F136" i="1"/>
  <c r="F135" i="1"/>
  <c r="F134" i="1"/>
  <c r="F167" i="1"/>
  <c r="F166" i="1"/>
  <c r="M133" i="1"/>
  <c r="N132" i="1" s="1"/>
  <c r="M132" i="1"/>
  <c r="J133" i="1"/>
  <c r="J132" i="1"/>
  <c r="F133" i="1"/>
  <c r="G133" i="1" s="1"/>
  <c r="H132" i="1" s="1"/>
  <c r="F132" i="1"/>
  <c r="G132" i="1" s="1"/>
  <c r="M131" i="1"/>
  <c r="N130" i="1" s="1"/>
  <c r="M130" i="1"/>
  <c r="J131" i="1"/>
  <c r="J130" i="1"/>
  <c r="F131" i="1"/>
  <c r="G131" i="1" s="1"/>
  <c r="H130" i="1" s="1"/>
  <c r="F130" i="1"/>
  <c r="G130" i="1" s="1"/>
  <c r="F129" i="1"/>
  <c r="F128" i="1"/>
  <c r="M125" i="1"/>
  <c r="M124" i="1"/>
  <c r="J125" i="1"/>
  <c r="J124" i="1"/>
  <c r="F125" i="1"/>
  <c r="G125" i="1" s="1"/>
  <c r="F124" i="1"/>
  <c r="M123" i="1"/>
  <c r="N122" i="1" s="1"/>
  <c r="M122" i="1"/>
  <c r="J123" i="1"/>
  <c r="K122" i="1" s="1"/>
  <c r="J122" i="1"/>
  <c r="F123" i="1"/>
  <c r="F122" i="1"/>
  <c r="G122" i="1" s="1"/>
  <c r="F120" i="1"/>
  <c r="F121" i="1"/>
  <c r="M119" i="1"/>
  <c r="N118" i="1" s="1"/>
  <c r="M118" i="1"/>
  <c r="J119" i="1"/>
  <c r="K118" i="1" s="1"/>
  <c r="J118" i="1"/>
  <c r="F119" i="1"/>
  <c r="G119" i="1" s="1"/>
  <c r="H118" i="1" s="1"/>
  <c r="F118" i="1"/>
  <c r="G118" i="1" s="1"/>
  <c r="M117" i="1"/>
  <c r="N116" i="1" s="1"/>
  <c r="M116" i="1"/>
  <c r="J117" i="1"/>
  <c r="J116" i="1"/>
  <c r="F117" i="1"/>
  <c r="G117" i="1" s="1"/>
  <c r="F116" i="1"/>
  <c r="G116" i="1" s="1"/>
  <c r="F115" i="1"/>
  <c r="F114" i="1"/>
  <c r="M113" i="1"/>
  <c r="N112" i="1" s="1"/>
  <c r="M112" i="1"/>
  <c r="J113" i="1"/>
  <c r="J112" i="1"/>
  <c r="K112" i="1" s="1"/>
  <c r="F113" i="1"/>
  <c r="G113" i="1" s="1"/>
  <c r="F112" i="1"/>
  <c r="F111" i="1"/>
  <c r="F110" i="1"/>
  <c r="M109" i="1"/>
  <c r="M108" i="1"/>
  <c r="J109" i="1"/>
  <c r="J108" i="1"/>
  <c r="F109" i="1"/>
  <c r="G109" i="1" s="1"/>
  <c r="F108" i="1"/>
  <c r="G108" i="1" s="1"/>
  <c r="F107" i="1"/>
  <c r="F106" i="1"/>
  <c r="F105" i="1"/>
  <c r="F104" i="1"/>
  <c r="M103" i="1"/>
  <c r="M102" i="1"/>
  <c r="J103" i="1"/>
  <c r="K102" i="1" s="1"/>
  <c r="J102" i="1"/>
  <c r="F103" i="1"/>
  <c r="G103" i="1" s="1"/>
  <c r="H102" i="1" s="1"/>
  <c r="F102" i="1"/>
  <c r="G102" i="1" s="1"/>
  <c r="M101" i="1"/>
  <c r="M100" i="1"/>
  <c r="J101" i="1"/>
  <c r="K100" i="1" s="1"/>
  <c r="J100" i="1"/>
  <c r="F101" i="1"/>
  <c r="F100" i="1"/>
  <c r="G101" i="1" s="1"/>
  <c r="F98" i="1"/>
  <c r="F99" i="1"/>
  <c r="F97" i="1"/>
  <c r="F96" i="1"/>
  <c r="F95" i="1"/>
  <c r="F94" i="1"/>
  <c r="H150" i="1" l="1"/>
  <c r="H108" i="1"/>
  <c r="H156" i="1"/>
  <c r="H116" i="1"/>
  <c r="G112" i="1"/>
  <c r="H112" i="1" s="1"/>
  <c r="G124" i="1"/>
  <c r="H124" i="1" s="1"/>
  <c r="G204" i="1"/>
  <c r="G123" i="1"/>
  <c r="H122" i="1" s="1"/>
  <c r="G173" i="1"/>
  <c r="H172" i="1" s="1"/>
  <c r="G187" i="1"/>
  <c r="H186" i="1" s="1"/>
  <c r="G100" i="1"/>
  <c r="H100" i="1" s="1"/>
  <c r="G182" i="1"/>
  <c r="H182" i="1" s="1"/>
  <c r="J60" i="1"/>
  <c r="N76" i="1"/>
  <c r="N70" i="1"/>
  <c r="N68" i="1"/>
  <c r="N66" i="1"/>
  <c r="N54" i="1"/>
  <c r="N50" i="1"/>
  <c r="N48" i="1"/>
  <c r="N42" i="1"/>
  <c r="N40" i="1"/>
  <c r="H88" i="1"/>
  <c r="H76" i="1"/>
  <c r="H70" i="1"/>
  <c r="H68" i="1"/>
  <c r="H66" i="1"/>
  <c r="H54" i="1"/>
  <c r="H50" i="1"/>
  <c r="H48" i="1"/>
  <c r="H42" i="1"/>
  <c r="F89" i="1"/>
  <c r="F88" i="1"/>
  <c r="F87" i="1"/>
  <c r="F86" i="1"/>
  <c r="F77" i="1"/>
  <c r="F76" i="1"/>
  <c r="F71" i="1"/>
  <c r="F70" i="1"/>
  <c r="F69" i="1"/>
  <c r="F68" i="1"/>
  <c r="F67" i="1"/>
  <c r="F66" i="1"/>
  <c r="F55" i="1"/>
  <c r="F54" i="1"/>
  <c r="F51" i="1"/>
  <c r="F50" i="1"/>
  <c r="F49" i="1"/>
  <c r="F48" i="1"/>
  <c r="F43" i="1"/>
  <c r="F42" i="1"/>
  <c r="J92" i="1" l="1"/>
  <c r="K92" i="1" s="1"/>
  <c r="M93" i="1"/>
  <c r="M92" i="1"/>
  <c r="F92" i="1"/>
  <c r="F93" i="1"/>
  <c r="G93" i="1" s="1"/>
  <c r="J91" i="1"/>
  <c r="J90" i="1"/>
  <c r="M91" i="1"/>
  <c r="N90" i="1" s="1"/>
  <c r="M90" i="1"/>
  <c r="F91" i="1"/>
  <c r="F90" i="1"/>
  <c r="G90" i="1" s="1"/>
  <c r="J85" i="1"/>
  <c r="J84" i="1"/>
  <c r="M85" i="1"/>
  <c r="M84" i="1"/>
  <c r="F85" i="1"/>
  <c r="F84" i="1"/>
  <c r="M83" i="1"/>
  <c r="M82" i="1"/>
  <c r="J83" i="1"/>
  <c r="K82" i="1" s="1"/>
  <c r="J82" i="1"/>
  <c r="F83" i="1"/>
  <c r="F82" i="1"/>
  <c r="G82" i="1" s="1"/>
  <c r="H46" i="1"/>
  <c r="M81" i="1"/>
  <c r="N80" i="1" s="1"/>
  <c r="M80" i="1"/>
  <c r="J81" i="1"/>
  <c r="J80" i="1"/>
  <c r="J79" i="1"/>
  <c r="J78" i="1"/>
  <c r="M79" i="1"/>
  <c r="M78" i="1"/>
  <c r="F79" i="1"/>
  <c r="G79" i="1" s="1"/>
  <c r="F78" i="1"/>
  <c r="J75" i="1"/>
  <c r="J74" i="1"/>
  <c r="M75" i="1"/>
  <c r="M74" i="1"/>
  <c r="F74" i="1"/>
  <c r="F75" i="1"/>
  <c r="G75" i="1" s="1"/>
  <c r="J73" i="1"/>
  <c r="K72" i="1" s="1"/>
  <c r="J72" i="1"/>
  <c r="M73" i="1"/>
  <c r="M72" i="1"/>
  <c r="F73" i="1"/>
  <c r="F72" i="1"/>
  <c r="J65" i="1"/>
  <c r="J64" i="1"/>
  <c r="M65" i="1"/>
  <c r="N64" i="1" s="1"/>
  <c r="M64" i="1"/>
  <c r="F65" i="1"/>
  <c r="F64" i="1"/>
  <c r="G64" i="1" s="1"/>
  <c r="J63" i="1"/>
  <c r="J62" i="1"/>
  <c r="M63" i="1"/>
  <c r="M62" i="1"/>
  <c r="F63" i="1"/>
  <c r="G63" i="1" s="1"/>
  <c r="F62" i="1"/>
  <c r="J61" i="1"/>
  <c r="K60" i="1" s="1"/>
  <c r="M61" i="1"/>
  <c r="M60" i="1"/>
  <c r="F61" i="1"/>
  <c r="F60" i="1"/>
  <c r="G60" i="1" s="1"/>
  <c r="J59" i="1"/>
  <c r="K58" i="1" s="1"/>
  <c r="J58" i="1"/>
  <c r="M59" i="1"/>
  <c r="M58" i="1"/>
  <c r="F59" i="1"/>
  <c r="F58" i="1"/>
  <c r="J57" i="1"/>
  <c r="J56" i="1"/>
  <c r="M57" i="1"/>
  <c r="M56" i="1"/>
  <c r="F57" i="1"/>
  <c r="F56" i="1"/>
  <c r="J53" i="1"/>
  <c r="J52" i="1"/>
  <c r="M53" i="1"/>
  <c r="M52" i="1"/>
  <c r="F53" i="1"/>
  <c r="F52" i="1"/>
  <c r="F47" i="1"/>
  <c r="F46" i="1"/>
  <c r="J45" i="1"/>
  <c r="J44" i="1"/>
  <c r="M45" i="1"/>
  <c r="M44" i="1"/>
  <c r="F45" i="1"/>
  <c r="F44" i="1"/>
  <c r="H40" i="1"/>
  <c r="F40" i="1"/>
  <c r="F41" i="1"/>
  <c r="J39" i="1"/>
  <c r="J38" i="1"/>
  <c r="M39" i="1"/>
  <c r="M38" i="1"/>
  <c r="F39" i="1"/>
  <c r="F38" i="1"/>
  <c r="N36" i="1"/>
  <c r="H36" i="1"/>
  <c r="F37" i="1"/>
  <c r="F36" i="1"/>
  <c r="N28" i="1"/>
  <c r="N22" i="1"/>
  <c r="H30" i="1"/>
  <c r="H28" i="1"/>
  <c r="H22" i="1"/>
  <c r="H14" i="1"/>
  <c r="H12" i="1"/>
  <c r="H8" i="1"/>
  <c r="H6" i="1"/>
  <c r="H4" i="1"/>
  <c r="H2" i="1"/>
  <c r="J35" i="1"/>
  <c r="J34" i="1"/>
  <c r="M35" i="1"/>
  <c r="M34" i="1"/>
  <c r="F35" i="1"/>
  <c r="F34" i="1"/>
  <c r="J33" i="1"/>
  <c r="K32" i="1" s="1"/>
  <c r="J32" i="1"/>
  <c r="M33" i="1"/>
  <c r="M32" i="1"/>
  <c r="F33" i="1"/>
  <c r="F32" i="1"/>
  <c r="G32" i="1" s="1"/>
  <c r="F31" i="1"/>
  <c r="F30" i="1"/>
  <c r="N78" i="1" l="1"/>
  <c r="K56" i="1"/>
  <c r="N84" i="1"/>
  <c r="K90" i="1"/>
  <c r="K64" i="1"/>
  <c r="K38" i="1"/>
  <c r="K62" i="1"/>
  <c r="G73" i="1"/>
  <c r="N74" i="1"/>
  <c r="K78" i="1"/>
  <c r="K44" i="1"/>
  <c r="K52" i="1"/>
  <c r="K84" i="1"/>
  <c r="N72" i="1"/>
  <c r="K74" i="1"/>
  <c r="K80" i="1"/>
  <c r="K34" i="1"/>
  <c r="N82" i="1"/>
  <c r="N92" i="1"/>
  <c r="H78" i="1"/>
  <c r="G84" i="1"/>
  <c r="G53" i="1"/>
  <c r="H52" i="1" s="1"/>
  <c r="G59" i="1"/>
  <c r="N52" i="1"/>
  <c r="G57" i="1"/>
  <c r="N32" i="1"/>
  <c r="G35" i="1"/>
  <c r="N38" i="1"/>
  <c r="G44" i="1"/>
  <c r="G52" i="1"/>
  <c r="G58" i="1"/>
  <c r="H58" i="1" s="1"/>
  <c r="G61" i="1"/>
  <c r="H60" i="1" s="1"/>
  <c r="N60" i="1"/>
  <c r="G91" i="1"/>
  <c r="N34" i="1"/>
  <c r="G38" i="1"/>
  <c r="N58" i="1"/>
  <c r="N62" i="1"/>
  <c r="G65" i="1"/>
  <c r="H64" i="1" s="1"/>
  <c r="G74" i="1"/>
  <c r="H74" i="1" s="1"/>
  <c r="G45" i="1"/>
  <c r="G83" i="1"/>
  <c r="H82" i="1" s="1"/>
  <c r="N44" i="1"/>
  <c r="G56" i="1"/>
  <c r="N56" i="1"/>
  <c r="G62" i="1"/>
  <c r="H62" i="1" s="1"/>
  <c r="G72" i="1"/>
  <c r="H72" i="1" s="1"/>
  <c r="G78" i="1"/>
  <c r="G85" i="1"/>
  <c r="G92" i="1"/>
  <c r="H92" i="1" s="1"/>
  <c r="H90" i="1"/>
  <c r="G33" i="1"/>
  <c r="H32" i="1" s="1"/>
  <c r="G34" i="1"/>
  <c r="H34" i="1" s="1"/>
  <c r="G39" i="1"/>
  <c r="F29" i="1"/>
  <c r="F28" i="1"/>
  <c r="J27" i="1"/>
  <c r="J26" i="1"/>
  <c r="M27" i="1"/>
  <c r="M26" i="1"/>
  <c r="F27" i="1"/>
  <c r="F26" i="1"/>
  <c r="J25" i="1"/>
  <c r="J24" i="1"/>
  <c r="M25" i="1"/>
  <c r="M24" i="1"/>
  <c r="F25" i="1"/>
  <c r="F24" i="1"/>
  <c r="G24" i="1" s="1"/>
  <c r="F23" i="1"/>
  <c r="F22" i="1"/>
  <c r="J21" i="1"/>
  <c r="J20" i="1"/>
  <c r="M21" i="1"/>
  <c r="M20" i="1"/>
  <c r="F21" i="1"/>
  <c r="F20" i="1"/>
  <c r="G20" i="1" s="1"/>
  <c r="J19" i="1"/>
  <c r="J18" i="1"/>
  <c r="M19" i="1"/>
  <c r="M18" i="1"/>
  <c r="F19" i="1"/>
  <c r="F18" i="1"/>
  <c r="J17" i="1"/>
  <c r="J16" i="1"/>
  <c r="F17" i="1"/>
  <c r="F16" i="1"/>
  <c r="M17" i="1"/>
  <c r="M16" i="1"/>
  <c r="F15" i="1"/>
  <c r="F14" i="1"/>
  <c r="F81" i="1"/>
  <c r="F80" i="1"/>
  <c r="M11" i="1"/>
  <c r="M10" i="1"/>
  <c r="J11" i="1"/>
  <c r="J10" i="1"/>
  <c r="M5" i="1"/>
  <c r="M4" i="1"/>
  <c r="J5" i="1"/>
  <c r="J4" i="1"/>
  <c r="F13" i="1"/>
  <c r="F12" i="1"/>
  <c r="F11" i="1"/>
  <c r="K26" i="1" l="1"/>
  <c r="K16" i="1"/>
  <c r="K4" i="1"/>
  <c r="N4" i="1"/>
  <c r="K10" i="1"/>
  <c r="N16" i="1"/>
  <c r="K20" i="1"/>
  <c r="K24" i="1"/>
  <c r="H84" i="1"/>
  <c r="N10" i="1"/>
  <c r="K18" i="1"/>
  <c r="H44" i="1"/>
  <c r="H38" i="1"/>
  <c r="G16" i="1"/>
  <c r="G26" i="1"/>
  <c r="H56" i="1"/>
  <c r="G17" i="1"/>
  <c r="G25" i="1"/>
  <c r="H24" i="1" s="1"/>
  <c r="G80" i="1"/>
  <c r="G19" i="1"/>
  <c r="H18" i="1" s="1"/>
  <c r="N20" i="1"/>
  <c r="G27" i="1"/>
  <c r="N18" i="1"/>
  <c r="G21" i="1"/>
  <c r="H20" i="1" s="1"/>
  <c r="G81" i="1"/>
  <c r="G18" i="1"/>
  <c r="N26" i="1"/>
  <c r="N24" i="1"/>
  <c r="F8" i="1"/>
  <c r="F9" i="1"/>
  <c r="F10" i="1"/>
  <c r="F5" i="1"/>
  <c r="F4" i="1"/>
  <c r="F3" i="1"/>
  <c r="F7" i="1"/>
  <c r="F6" i="1"/>
  <c r="H26" i="1" l="1"/>
  <c r="H16" i="1"/>
  <c r="H80" i="1"/>
  <c r="G10" i="1"/>
  <c r="G11" i="1"/>
  <c r="H10" i="1" l="1"/>
</calcChain>
</file>

<file path=xl/sharedStrings.xml><?xml version="1.0" encoding="utf-8"?>
<sst xmlns="http://schemas.openxmlformats.org/spreadsheetml/2006/main" count="809" uniqueCount="291">
  <si>
    <t>서울특별시</t>
    <phoneticPr fontId="2" type="noConversion"/>
  </si>
  <si>
    <t>관외</t>
  </si>
  <si>
    <t>관내</t>
    <phoneticPr fontId="2" type="noConversion"/>
  </si>
  <si>
    <t>총득표수</t>
    <phoneticPr fontId="2" type="noConversion"/>
  </si>
  <si>
    <t>마포갑</t>
    <phoneticPr fontId="2" type="noConversion"/>
  </si>
  <si>
    <t>서초을</t>
    <phoneticPr fontId="2" type="noConversion"/>
  </si>
  <si>
    <t>국민의 힘</t>
    <phoneticPr fontId="2" type="noConversion"/>
  </si>
  <si>
    <t>더불어민주당</t>
    <phoneticPr fontId="2" type="noConversion"/>
  </si>
  <si>
    <t>시도</t>
    <phoneticPr fontId="2" type="noConversion"/>
  </si>
  <si>
    <t>선거구</t>
    <phoneticPr fontId="2" type="noConversion"/>
  </si>
  <si>
    <t>정당</t>
    <phoneticPr fontId="2" type="noConversion"/>
  </si>
  <si>
    <t>종로구</t>
    <phoneticPr fontId="2" type="noConversion"/>
  </si>
  <si>
    <t>성동구</t>
    <phoneticPr fontId="2" type="noConversion"/>
  </si>
  <si>
    <t>중구</t>
    <phoneticPr fontId="2" type="noConversion"/>
  </si>
  <si>
    <t>용산구</t>
    <phoneticPr fontId="2" type="noConversion"/>
  </si>
  <si>
    <t>광진갑</t>
    <phoneticPr fontId="2" type="noConversion"/>
  </si>
  <si>
    <t>광진을</t>
    <phoneticPr fontId="2" type="noConversion"/>
  </si>
  <si>
    <t>국민의 힘</t>
    <phoneticPr fontId="2" type="noConversion"/>
  </si>
  <si>
    <t>더불어민주당</t>
    <phoneticPr fontId="2" type="noConversion"/>
  </si>
  <si>
    <t>사전득표율</t>
    <phoneticPr fontId="2" type="noConversion"/>
  </si>
  <si>
    <t>당일득표율</t>
    <phoneticPr fontId="2" type="noConversion"/>
  </si>
  <si>
    <t>주제: 사전투표는 어느정당에게 유리한가?</t>
    <phoneticPr fontId="2" type="noConversion"/>
  </si>
  <si>
    <t>제목: 사전투표 득표율이 선거 결과에 미치는 영향 분석: 제22대 총선을 중심으로</t>
    <phoneticPr fontId="2" type="noConversion"/>
  </si>
  <si>
    <t>사전득표</t>
    <phoneticPr fontId="2" type="noConversion"/>
  </si>
  <si>
    <t>당일득표</t>
    <phoneticPr fontId="2" type="noConversion"/>
  </si>
  <si>
    <t>격차(사전)</t>
    <phoneticPr fontId="2" type="noConversion"/>
  </si>
  <si>
    <t>격차(당일)</t>
    <phoneticPr fontId="2" type="noConversion"/>
  </si>
  <si>
    <t>총득표율</t>
    <phoneticPr fontId="2" type="noConversion"/>
  </si>
  <si>
    <t>격차(총)</t>
    <phoneticPr fontId="2" type="noConversion"/>
  </si>
  <si>
    <t>동대문갑</t>
    <phoneticPr fontId="2" type="noConversion"/>
  </si>
  <si>
    <t>동대문을</t>
    <phoneticPr fontId="2" type="noConversion"/>
  </si>
  <si>
    <t>중랑갑</t>
    <phoneticPr fontId="2" type="noConversion"/>
  </si>
  <si>
    <t>중랑을</t>
    <phoneticPr fontId="2" type="noConversion"/>
  </si>
  <si>
    <t>성북갑</t>
    <phoneticPr fontId="2" type="noConversion"/>
  </si>
  <si>
    <t>성북을</t>
    <phoneticPr fontId="2" type="noConversion"/>
  </si>
  <si>
    <t>강북갑</t>
    <phoneticPr fontId="2" type="noConversion"/>
  </si>
  <si>
    <t>강북을</t>
    <phoneticPr fontId="2" type="noConversion"/>
  </si>
  <si>
    <t>도봉갑</t>
    <phoneticPr fontId="2" type="noConversion"/>
  </si>
  <si>
    <t>도봉을</t>
    <phoneticPr fontId="2" type="noConversion"/>
  </si>
  <si>
    <t>노원갑</t>
    <phoneticPr fontId="2" type="noConversion"/>
  </si>
  <si>
    <t>노원을</t>
    <phoneticPr fontId="2" type="noConversion"/>
  </si>
  <si>
    <t>은평갑</t>
    <phoneticPr fontId="2" type="noConversion"/>
  </si>
  <si>
    <t>은평을</t>
    <phoneticPr fontId="2" type="noConversion"/>
  </si>
  <si>
    <t>서대문갑</t>
    <phoneticPr fontId="2" type="noConversion"/>
  </si>
  <si>
    <t>서대문을</t>
    <phoneticPr fontId="2" type="noConversion"/>
  </si>
  <si>
    <t>마포을</t>
    <phoneticPr fontId="2" type="noConversion"/>
  </si>
  <si>
    <t>양천갑</t>
    <phoneticPr fontId="2" type="noConversion"/>
  </si>
  <si>
    <t>양천을</t>
    <phoneticPr fontId="2" type="noConversion"/>
  </si>
  <si>
    <t>강서갑</t>
    <phoneticPr fontId="2" type="noConversion"/>
  </si>
  <si>
    <t>강서을</t>
    <phoneticPr fontId="2" type="noConversion"/>
  </si>
  <si>
    <t>구로갑</t>
    <phoneticPr fontId="2" type="noConversion"/>
  </si>
  <si>
    <t>구로을</t>
    <phoneticPr fontId="2" type="noConversion"/>
  </si>
  <si>
    <t>금천</t>
    <phoneticPr fontId="2" type="noConversion"/>
  </si>
  <si>
    <t>영등포갑</t>
    <phoneticPr fontId="2" type="noConversion"/>
  </si>
  <si>
    <t>영등포을</t>
    <phoneticPr fontId="2" type="noConversion"/>
  </si>
  <si>
    <t>동작갑</t>
    <phoneticPr fontId="2" type="noConversion"/>
  </si>
  <si>
    <t>동작을</t>
    <phoneticPr fontId="2" type="noConversion"/>
  </si>
  <si>
    <t>관악갑</t>
    <phoneticPr fontId="2" type="noConversion"/>
  </si>
  <si>
    <t>관악을</t>
    <phoneticPr fontId="2" type="noConversion"/>
  </si>
  <si>
    <t>서초갑</t>
    <phoneticPr fontId="2" type="noConversion"/>
  </si>
  <si>
    <t>강남갑</t>
    <phoneticPr fontId="2" type="noConversion"/>
  </si>
  <si>
    <t>강남을</t>
    <phoneticPr fontId="2" type="noConversion"/>
  </si>
  <si>
    <t>강서병</t>
    <phoneticPr fontId="2" type="noConversion"/>
  </si>
  <si>
    <t>강남병</t>
    <phoneticPr fontId="2" type="noConversion"/>
  </si>
  <si>
    <t>송파갑</t>
    <phoneticPr fontId="2" type="noConversion"/>
  </si>
  <si>
    <t>송파을</t>
    <phoneticPr fontId="2" type="noConversion"/>
  </si>
  <si>
    <t>송파병</t>
    <phoneticPr fontId="2" type="noConversion"/>
  </si>
  <si>
    <t>강동갑</t>
    <phoneticPr fontId="2" type="noConversion"/>
  </si>
  <si>
    <t>강동을</t>
    <phoneticPr fontId="2" type="noConversion"/>
  </si>
  <si>
    <t>부산광역시</t>
    <phoneticPr fontId="2" type="noConversion"/>
  </si>
  <si>
    <t>중도영도구</t>
    <phoneticPr fontId="2" type="noConversion"/>
  </si>
  <si>
    <t>서구동구</t>
    <phoneticPr fontId="2" type="noConversion"/>
  </si>
  <si>
    <t>부산진구갑</t>
    <phoneticPr fontId="2" type="noConversion"/>
  </si>
  <si>
    <t>부산진구을</t>
    <phoneticPr fontId="2" type="noConversion"/>
  </si>
  <si>
    <t>동래구</t>
    <phoneticPr fontId="2" type="noConversion"/>
  </si>
  <si>
    <t>남구</t>
    <phoneticPr fontId="2" type="noConversion"/>
  </si>
  <si>
    <t>북구갑</t>
    <phoneticPr fontId="2" type="noConversion"/>
  </si>
  <si>
    <t>북구을</t>
    <phoneticPr fontId="2" type="noConversion"/>
  </si>
  <si>
    <t>해운대구갑</t>
    <phoneticPr fontId="2" type="noConversion"/>
  </si>
  <si>
    <t>해운대구을</t>
    <phoneticPr fontId="2" type="noConversion"/>
  </si>
  <si>
    <t>사하구갑</t>
    <phoneticPr fontId="2" type="noConversion"/>
  </si>
  <si>
    <t>사하구을</t>
    <phoneticPr fontId="2" type="noConversion"/>
  </si>
  <si>
    <t>금정구</t>
    <phoneticPr fontId="2" type="noConversion"/>
  </si>
  <si>
    <t>강서구</t>
    <phoneticPr fontId="2" type="noConversion"/>
  </si>
  <si>
    <t>연제구</t>
    <phoneticPr fontId="2" type="noConversion"/>
  </si>
  <si>
    <t>수영구</t>
    <phoneticPr fontId="2" type="noConversion"/>
  </si>
  <si>
    <t>사상구</t>
    <phoneticPr fontId="2" type="noConversion"/>
  </si>
  <si>
    <t>기장군</t>
    <phoneticPr fontId="2" type="noConversion"/>
  </si>
  <si>
    <t>대구광역시</t>
    <phoneticPr fontId="2" type="noConversion"/>
  </si>
  <si>
    <t>중구남구</t>
    <phoneticPr fontId="2" type="noConversion"/>
  </si>
  <si>
    <t>동구군위군을</t>
    <phoneticPr fontId="2" type="noConversion"/>
  </si>
  <si>
    <t>서구</t>
    <phoneticPr fontId="2" type="noConversion"/>
  </si>
  <si>
    <t>북구갑</t>
    <phoneticPr fontId="2" type="noConversion"/>
  </si>
  <si>
    <t>북구을</t>
    <phoneticPr fontId="2" type="noConversion"/>
  </si>
  <si>
    <t>달성군</t>
    <phoneticPr fontId="2" type="noConversion"/>
  </si>
  <si>
    <t>인천광역시</t>
    <phoneticPr fontId="2" type="noConversion"/>
  </si>
  <si>
    <t>중구강화군옹진군</t>
    <phoneticPr fontId="2" type="noConversion"/>
  </si>
  <si>
    <t>동구미추홀갑</t>
    <phoneticPr fontId="2" type="noConversion"/>
  </si>
  <si>
    <t>동구미추홀을</t>
    <phoneticPr fontId="2" type="noConversion"/>
  </si>
  <si>
    <t>연수갑</t>
    <phoneticPr fontId="2" type="noConversion"/>
  </si>
  <si>
    <t>연수을</t>
    <phoneticPr fontId="2" type="noConversion"/>
  </si>
  <si>
    <t>수성갑</t>
    <phoneticPr fontId="2" type="noConversion"/>
  </si>
  <si>
    <t>수성을</t>
    <phoneticPr fontId="2" type="noConversion"/>
  </si>
  <si>
    <t>달서갑</t>
    <phoneticPr fontId="2" type="noConversion"/>
  </si>
  <si>
    <t>달서을</t>
    <phoneticPr fontId="2" type="noConversion"/>
  </si>
  <si>
    <t>달서병</t>
    <phoneticPr fontId="2" type="noConversion"/>
  </si>
  <si>
    <t>남동갑</t>
    <phoneticPr fontId="2" type="noConversion"/>
  </si>
  <si>
    <t>남동을</t>
    <phoneticPr fontId="2" type="noConversion"/>
  </si>
  <si>
    <t>부평갑</t>
    <phoneticPr fontId="2" type="noConversion"/>
  </si>
  <si>
    <t>부평을</t>
    <phoneticPr fontId="2" type="noConversion"/>
  </si>
  <si>
    <t>계양갑</t>
    <phoneticPr fontId="2" type="noConversion"/>
  </si>
  <si>
    <t>계양을</t>
    <phoneticPr fontId="2" type="noConversion"/>
  </si>
  <si>
    <t>서구갑</t>
    <phoneticPr fontId="2" type="noConversion"/>
  </si>
  <si>
    <t>서구을</t>
    <phoneticPr fontId="2" type="noConversion"/>
  </si>
  <si>
    <t>서구병</t>
    <phoneticPr fontId="2" type="noConversion"/>
  </si>
  <si>
    <t>광주광역시</t>
    <phoneticPr fontId="2" type="noConversion"/>
  </si>
  <si>
    <t>동구남구갑</t>
    <phoneticPr fontId="2" type="noConversion"/>
  </si>
  <si>
    <t>동구남구을</t>
    <phoneticPr fontId="2" type="noConversion"/>
  </si>
  <si>
    <t>광산갑</t>
    <phoneticPr fontId="2" type="noConversion"/>
  </si>
  <si>
    <t>광산을</t>
    <phoneticPr fontId="2" type="noConversion"/>
  </si>
  <si>
    <t>동구</t>
    <phoneticPr fontId="2" type="noConversion"/>
  </si>
  <si>
    <t>유성갑</t>
    <phoneticPr fontId="2" type="noConversion"/>
  </si>
  <si>
    <t>유성을</t>
    <phoneticPr fontId="2" type="noConversion"/>
  </si>
  <si>
    <t>대덕</t>
    <phoneticPr fontId="2" type="noConversion"/>
  </si>
  <si>
    <t>대전광역시</t>
    <phoneticPr fontId="2" type="noConversion"/>
  </si>
  <si>
    <t>남구갑</t>
    <phoneticPr fontId="2" type="noConversion"/>
  </si>
  <si>
    <t>남구을</t>
    <phoneticPr fontId="2" type="noConversion"/>
  </si>
  <si>
    <t>북구</t>
    <phoneticPr fontId="2" type="noConversion"/>
  </si>
  <si>
    <t>울주군</t>
    <phoneticPr fontId="2" type="noConversion"/>
  </si>
  <si>
    <t>울산광역시</t>
    <phoneticPr fontId="2" type="noConversion"/>
  </si>
  <si>
    <t>동구군위군갑</t>
  </si>
  <si>
    <t>**사전투표율이 높았음에도 불구하고, 당일득표율의 격차가 커서 의미가 없다면 지역주의가 강한 것</t>
    <phoneticPr fontId="2" type="noConversion"/>
  </si>
  <si>
    <t xml:space="preserve">**17개 광역시도별로 분석할 것 </t>
    <phoneticPr fontId="2" type="noConversion"/>
  </si>
  <si>
    <t>세종특별자치시</t>
    <phoneticPr fontId="2" type="noConversion"/>
  </si>
  <si>
    <t>세종특별자치시갑</t>
    <phoneticPr fontId="2" type="noConversion"/>
  </si>
  <si>
    <t>세종특별자치시을</t>
    <phoneticPr fontId="2" type="noConversion"/>
  </si>
  <si>
    <t>경기도</t>
    <phoneticPr fontId="2" type="noConversion"/>
  </si>
  <si>
    <t>수원갑</t>
    <phoneticPr fontId="2" type="noConversion"/>
  </si>
  <si>
    <t>수원을</t>
    <phoneticPr fontId="2" type="noConversion"/>
  </si>
  <si>
    <t>수원병</t>
    <phoneticPr fontId="2" type="noConversion"/>
  </si>
  <si>
    <t>수원정</t>
    <phoneticPr fontId="2" type="noConversion"/>
  </si>
  <si>
    <t>수원무</t>
    <phoneticPr fontId="2" type="noConversion"/>
  </si>
  <si>
    <t>성남시수정구</t>
    <phoneticPr fontId="2" type="noConversion"/>
  </si>
  <si>
    <t>성남시중원구</t>
    <phoneticPr fontId="2" type="noConversion"/>
  </si>
  <si>
    <t>성남시분당갑</t>
    <phoneticPr fontId="2" type="noConversion"/>
  </si>
  <si>
    <t>성남시분당을</t>
    <phoneticPr fontId="2" type="noConversion"/>
  </si>
  <si>
    <t>의정부갑</t>
    <phoneticPr fontId="2" type="noConversion"/>
  </si>
  <si>
    <t>의정부을</t>
    <phoneticPr fontId="2" type="noConversion"/>
  </si>
  <si>
    <t>안양시만안구</t>
    <phoneticPr fontId="2" type="noConversion"/>
  </si>
  <si>
    <t>안양시동안갑</t>
    <phoneticPr fontId="2" type="noConversion"/>
  </si>
  <si>
    <t>안양시동안을</t>
    <phoneticPr fontId="2" type="noConversion"/>
  </si>
  <si>
    <t>부천갑</t>
    <phoneticPr fontId="2" type="noConversion"/>
  </si>
  <si>
    <t>부천을</t>
    <phoneticPr fontId="2" type="noConversion"/>
  </si>
  <si>
    <t>부천병</t>
    <phoneticPr fontId="2" type="noConversion"/>
  </si>
  <si>
    <t>광명갑</t>
    <phoneticPr fontId="2" type="noConversion"/>
  </si>
  <si>
    <t>광명을</t>
    <phoneticPr fontId="2" type="noConversion"/>
  </si>
  <si>
    <t>평택갑</t>
    <phoneticPr fontId="2" type="noConversion"/>
  </si>
  <si>
    <t>평택을</t>
    <phoneticPr fontId="2" type="noConversion"/>
  </si>
  <si>
    <t>평택병</t>
    <phoneticPr fontId="2" type="noConversion"/>
  </si>
  <si>
    <t>동두천양주시연천군갑</t>
    <phoneticPr fontId="2" type="noConversion"/>
  </si>
  <si>
    <t>동두천양주시연천군을</t>
    <phoneticPr fontId="2" type="noConversion"/>
  </si>
  <si>
    <t>안산갑</t>
    <phoneticPr fontId="2" type="noConversion"/>
  </si>
  <si>
    <t>안산을</t>
    <phoneticPr fontId="2" type="noConversion"/>
  </si>
  <si>
    <t>안산병</t>
    <phoneticPr fontId="2" type="noConversion"/>
  </si>
  <si>
    <t>고양갑</t>
    <phoneticPr fontId="2" type="noConversion"/>
  </si>
  <si>
    <t>고양을</t>
    <phoneticPr fontId="2" type="noConversion"/>
  </si>
  <si>
    <t>고양병</t>
    <phoneticPr fontId="2" type="noConversion"/>
  </si>
  <si>
    <t>고양정</t>
    <phoneticPr fontId="2" type="noConversion"/>
  </si>
  <si>
    <t>의왕시과천시</t>
    <phoneticPr fontId="2" type="noConversion"/>
  </si>
  <si>
    <t>구리시</t>
    <phoneticPr fontId="2" type="noConversion"/>
  </si>
  <si>
    <t>남양주갑</t>
    <phoneticPr fontId="2" type="noConversion"/>
  </si>
  <si>
    <t>남양주을</t>
    <phoneticPr fontId="2" type="noConversion"/>
  </si>
  <si>
    <t>남양주병</t>
    <phoneticPr fontId="2" type="noConversion"/>
  </si>
  <si>
    <t>오산시</t>
    <phoneticPr fontId="2" type="noConversion"/>
  </si>
  <si>
    <t>시흥갑</t>
    <phoneticPr fontId="2" type="noConversion"/>
  </si>
  <si>
    <t>시흥을</t>
    <phoneticPr fontId="2" type="noConversion"/>
  </si>
  <si>
    <t>군포시</t>
    <phoneticPr fontId="2" type="noConversion"/>
  </si>
  <si>
    <t>하남갑</t>
    <phoneticPr fontId="2" type="noConversion"/>
  </si>
  <si>
    <t>하남을</t>
    <phoneticPr fontId="2" type="noConversion"/>
  </si>
  <si>
    <t>용인갑</t>
    <phoneticPr fontId="2" type="noConversion"/>
  </si>
  <si>
    <t>용인을</t>
    <phoneticPr fontId="2" type="noConversion"/>
  </si>
  <si>
    <t>용인병</t>
    <phoneticPr fontId="2" type="noConversion"/>
  </si>
  <si>
    <t>용인정</t>
    <phoneticPr fontId="2" type="noConversion"/>
  </si>
  <si>
    <t>파주갑</t>
    <phoneticPr fontId="2" type="noConversion"/>
  </si>
  <si>
    <t>파주을</t>
    <phoneticPr fontId="2" type="noConversion"/>
  </si>
  <si>
    <t>이천시</t>
    <phoneticPr fontId="2" type="noConversion"/>
  </si>
  <si>
    <t>안성시</t>
    <phoneticPr fontId="2" type="noConversion"/>
  </si>
  <si>
    <t>김포갑</t>
    <phoneticPr fontId="2" type="noConversion"/>
  </si>
  <si>
    <t>김포을</t>
    <phoneticPr fontId="2" type="noConversion"/>
  </si>
  <si>
    <t>화성갑</t>
    <phoneticPr fontId="2" type="noConversion"/>
  </si>
  <si>
    <t>화성을</t>
    <phoneticPr fontId="2" type="noConversion"/>
  </si>
  <si>
    <t>화성병</t>
    <phoneticPr fontId="2" type="noConversion"/>
  </si>
  <si>
    <t>화성정</t>
    <phoneticPr fontId="2" type="noConversion"/>
  </si>
  <si>
    <t>광주갑</t>
    <phoneticPr fontId="2" type="noConversion"/>
  </si>
  <si>
    <t>광주을</t>
    <phoneticPr fontId="2" type="noConversion"/>
  </si>
  <si>
    <t>포천시가평군</t>
    <phoneticPr fontId="2" type="noConversion"/>
  </si>
  <si>
    <t>여주시양평군</t>
    <phoneticPr fontId="2" type="noConversion"/>
  </si>
  <si>
    <t>이준석 당선</t>
    <phoneticPr fontId="2" type="noConversion"/>
  </si>
  <si>
    <t>강원특별자치도</t>
    <phoneticPr fontId="2" type="noConversion"/>
  </si>
  <si>
    <t>춘천철원화천양구갑</t>
    <phoneticPr fontId="2" type="noConversion"/>
  </si>
  <si>
    <t>춘천철원화천양구을</t>
    <phoneticPr fontId="2" type="noConversion"/>
  </si>
  <si>
    <t>원주갑</t>
    <phoneticPr fontId="2" type="noConversion"/>
  </si>
  <si>
    <t>원주을</t>
    <phoneticPr fontId="2" type="noConversion"/>
  </si>
  <si>
    <t>강릉</t>
    <phoneticPr fontId="2" type="noConversion"/>
  </si>
  <si>
    <t>동해태백삼척정선</t>
    <phoneticPr fontId="2" type="noConversion"/>
  </si>
  <si>
    <t>속초인제고성양양</t>
    <phoneticPr fontId="2" type="noConversion"/>
  </si>
  <si>
    <t>홍천횡성영월평창</t>
    <phoneticPr fontId="2" type="noConversion"/>
  </si>
  <si>
    <t>충청북도</t>
    <phoneticPr fontId="2" type="noConversion"/>
  </si>
  <si>
    <t>청주서원</t>
    <phoneticPr fontId="2" type="noConversion"/>
  </si>
  <si>
    <t>청주흥덕</t>
    <phoneticPr fontId="2" type="noConversion"/>
  </si>
  <si>
    <t>청주상당</t>
    <phoneticPr fontId="2" type="noConversion"/>
  </si>
  <si>
    <t>청주청원</t>
    <phoneticPr fontId="2" type="noConversion"/>
  </si>
  <si>
    <t>충주</t>
    <phoneticPr fontId="2" type="noConversion"/>
  </si>
  <si>
    <t>제천단양</t>
    <phoneticPr fontId="2" type="noConversion"/>
  </si>
  <si>
    <t>보은옥천영동괴산</t>
    <phoneticPr fontId="2" type="noConversion"/>
  </si>
  <si>
    <t>증평진천음성</t>
    <phoneticPr fontId="2" type="noConversion"/>
  </si>
  <si>
    <t>충청남도</t>
    <phoneticPr fontId="2" type="noConversion"/>
  </si>
  <si>
    <t>천안갑</t>
    <phoneticPr fontId="2" type="noConversion"/>
  </si>
  <si>
    <t>천안을</t>
    <phoneticPr fontId="2" type="noConversion"/>
  </si>
  <si>
    <t>천안병</t>
    <phoneticPr fontId="2" type="noConversion"/>
  </si>
  <si>
    <t>공주부여청양</t>
    <phoneticPr fontId="2" type="noConversion"/>
  </si>
  <si>
    <t>아산갑</t>
    <phoneticPr fontId="2" type="noConversion"/>
  </si>
  <si>
    <t>아산을</t>
    <phoneticPr fontId="2" type="noConversion"/>
  </si>
  <si>
    <t>논산계룡금산</t>
    <phoneticPr fontId="2" type="noConversion"/>
  </si>
  <si>
    <t>서산태안</t>
    <phoneticPr fontId="2" type="noConversion"/>
  </si>
  <si>
    <t>보령서천</t>
    <phoneticPr fontId="2" type="noConversion"/>
  </si>
  <si>
    <t>당진</t>
    <phoneticPr fontId="2" type="noConversion"/>
  </si>
  <si>
    <t>홍성예산</t>
    <phoneticPr fontId="2" type="noConversion"/>
  </si>
  <si>
    <t>전북특별자치도</t>
    <phoneticPr fontId="2" type="noConversion"/>
  </si>
  <si>
    <t>전주갑</t>
    <phoneticPr fontId="2" type="noConversion"/>
  </si>
  <si>
    <t>전주을</t>
    <phoneticPr fontId="2" type="noConversion"/>
  </si>
  <si>
    <t>전주병</t>
    <phoneticPr fontId="2" type="noConversion"/>
  </si>
  <si>
    <t>군산김제부안갑</t>
    <phoneticPr fontId="2" type="noConversion"/>
  </si>
  <si>
    <t>군산김제부안을</t>
    <phoneticPr fontId="2" type="noConversion"/>
  </si>
  <si>
    <t>익산갑</t>
    <phoneticPr fontId="2" type="noConversion"/>
  </si>
  <si>
    <t>익산을</t>
    <phoneticPr fontId="2" type="noConversion"/>
  </si>
  <si>
    <t>정읍고창</t>
    <phoneticPr fontId="2" type="noConversion"/>
  </si>
  <si>
    <t>남원장수임실순창</t>
    <phoneticPr fontId="2" type="noConversion"/>
  </si>
  <si>
    <t>완주진안무주</t>
    <phoneticPr fontId="2" type="noConversion"/>
  </si>
  <si>
    <t>민주당 불출마</t>
    <phoneticPr fontId="2" type="noConversion"/>
  </si>
  <si>
    <t xml:space="preserve">**평균적으로 민주당이 사전투표에서 얼마만큼이나 우세한지 평균을 낼것 </t>
    <phoneticPr fontId="2" type="noConversion"/>
  </si>
  <si>
    <t xml:space="preserve">**평균적으로 국힘이 당일투표에서 얼마만큼이나 우세한지 평균을 낼것 </t>
    <phoneticPr fontId="2" type="noConversion"/>
  </si>
  <si>
    <t xml:space="preserve">**광역시도별 득표율 격차 평균 낼것 </t>
    <phoneticPr fontId="2" type="noConversion"/>
  </si>
  <si>
    <t>전라남도</t>
    <phoneticPr fontId="2" type="noConversion"/>
  </si>
  <si>
    <t>목포시</t>
    <phoneticPr fontId="2" type="noConversion"/>
  </si>
  <si>
    <t>순천광양곡성구례갑</t>
    <phoneticPr fontId="2" type="noConversion"/>
  </si>
  <si>
    <t>순천광양곡성구례을</t>
    <phoneticPr fontId="2" type="noConversion"/>
  </si>
  <si>
    <t>나주화순</t>
    <phoneticPr fontId="2" type="noConversion"/>
  </si>
  <si>
    <t>담양함평영광장성</t>
    <phoneticPr fontId="2" type="noConversion"/>
  </si>
  <si>
    <t>고흥보성장흥강진</t>
    <phoneticPr fontId="2" type="noConversion"/>
  </si>
  <si>
    <t>해남완도진도</t>
    <phoneticPr fontId="2" type="noConversion"/>
  </si>
  <si>
    <t>영암무안신안</t>
    <phoneticPr fontId="2" type="noConversion"/>
  </si>
  <si>
    <t>여수갑</t>
    <phoneticPr fontId="2" type="noConversion"/>
  </si>
  <si>
    <t>여수을</t>
    <phoneticPr fontId="2" type="noConversion"/>
  </si>
  <si>
    <t>경상북도</t>
    <phoneticPr fontId="2" type="noConversion"/>
  </si>
  <si>
    <t>포항북구</t>
    <phoneticPr fontId="2" type="noConversion"/>
  </si>
  <si>
    <t>포항남구울릉군</t>
    <phoneticPr fontId="2" type="noConversion"/>
  </si>
  <si>
    <t>경주</t>
    <phoneticPr fontId="2" type="noConversion"/>
  </si>
  <si>
    <t>김천</t>
    <phoneticPr fontId="2" type="noConversion"/>
  </si>
  <si>
    <t>안동예천</t>
    <phoneticPr fontId="2" type="noConversion"/>
  </si>
  <si>
    <t>구미갑</t>
    <phoneticPr fontId="2" type="noConversion"/>
  </si>
  <si>
    <t>구미을</t>
    <phoneticPr fontId="2" type="noConversion"/>
  </si>
  <si>
    <t>영천청도</t>
    <phoneticPr fontId="2" type="noConversion"/>
  </si>
  <si>
    <t>상주문경</t>
    <phoneticPr fontId="2" type="noConversion"/>
  </si>
  <si>
    <t>경산</t>
    <phoneticPr fontId="2" type="noConversion"/>
  </si>
  <si>
    <t>의성청송영덕울진</t>
    <phoneticPr fontId="2" type="noConversion"/>
  </si>
  <si>
    <t>고령성주칠곡</t>
    <phoneticPr fontId="2" type="noConversion"/>
  </si>
  <si>
    <t>1. 사전투표 득표율 분석:
선정된 선거구의 사전투표 득표율과 당일투표 득표율을 계산하여 격차 측정
사전투표 득표율이 당일투표 결과를 뒤집었는지 여부분석                                                                                                         
2. 정당별 분석:
민주당과 국민의힘의 각 선거구에서의 사전투표 득표율 비교
각 정당이 사전투표에서 우위를 점했을 때 실제 당선된 비율 분석
3. 지역별 분석:
지역별로 사전투표율이 선거 결과에 미친 영향 검토
사전투표 득표율로 인해 선거 결과가 뒤집어진 사례 분석</t>
    <phoneticPr fontId="2" type="noConversion"/>
  </si>
  <si>
    <t>영주영양봉화</t>
    <phoneticPr fontId="2" type="noConversion"/>
  </si>
  <si>
    <t>경상남도</t>
    <phoneticPr fontId="2" type="noConversion"/>
  </si>
  <si>
    <t>창원의창</t>
    <phoneticPr fontId="2" type="noConversion"/>
  </si>
  <si>
    <t>창원성산</t>
    <phoneticPr fontId="2" type="noConversion"/>
  </si>
  <si>
    <t>창원마산합포</t>
    <phoneticPr fontId="2" type="noConversion"/>
  </si>
  <si>
    <t>창원마산회원</t>
    <phoneticPr fontId="2" type="noConversion"/>
  </si>
  <si>
    <t>창원진해</t>
    <phoneticPr fontId="2" type="noConversion"/>
  </si>
  <si>
    <t>진주갑</t>
    <phoneticPr fontId="2" type="noConversion"/>
  </si>
  <si>
    <t>진주을</t>
    <phoneticPr fontId="2" type="noConversion"/>
  </si>
  <si>
    <t>통영고성</t>
    <phoneticPr fontId="2" type="noConversion"/>
  </si>
  <si>
    <t>사천남해하동</t>
    <phoneticPr fontId="2" type="noConversion"/>
  </si>
  <si>
    <t>김해갑</t>
    <phoneticPr fontId="2" type="noConversion"/>
  </si>
  <si>
    <t>김해을</t>
    <phoneticPr fontId="2" type="noConversion"/>
  </si>
  <si>
    <t>밀양의령함안창녕</t>
    <phoneticPr fontId="2" type="noConversion"/>
  </si>
  <si>
    <t>거제</t>
    <phoneticPr fontId="2" type="noConversion"/>
  </si>
  <si>
    <t>양산갑</t>
    <phoneticPr fontId="2" type="noConversion"/>
  </si>
  <si>
    <t>양산을</t>
    <phoneticPr fontId="2" type="noConversion"/>
  </si>
  <si>
    <t>산청함양거창합천</t>
    <phoneticPr fontId="2" type="noConversion"/>
  </si>
  <si>
    <t>제주특별자치도</t>
    <phoneticPr fontId="2" type="noConversion"/>
  </si>
  <si>
    <t>제주갑</t>
    <phoneticPr fontId="2" type="noConversion"/>
  </si>
  <si>
    <t>제주을</t>
    <phoneticPr fontId="2" type="noConversion"/>
  </si>
  <si>
    <t>서귀포</t>
    <phoneticPr fontId="2" type="noConversion"/>
  </si>
  <si>
    <t>민주당 불출마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</si>
</sst>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76" fontId="4" fillId="0" borderId="18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4" fillId="0" borderId="8" xfId="0" applyNumberFormat="1" applyFont="1" applyBorder="1" applyAlignment="1">
      <alignment horizontal="center" vertical="center"/>
    </xf>
    <xf numFmtId="10" fontId="4" fillId="0" borderId="18" xfId="0" applyNumberFormat="1" applyFont="1" applyBorder="1" applyAlignment="1">
      <alignment horizontal="center" vertical="center"/>
    </xf>
    <xf numFmtId="10" fontId="4" fillId="2" borderId="1" xfId="1" applyNumberFormat="1" applyFont="1" applyBorder="1" applyAlignment="1">
      <alignment horizontal="center" vertical="center"/>
    </xf>
    <xf numFmtId="10" fontId="0" fillId="0" borderId="0" xfId="0" applyNumberForma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center" wrapText="1"/>
    </xf>
    <xf numFmtId="10" fontId="4" fillId="2" borderId="1" xfId="2" applyNumberFormat="1" applyFont="1" applyFill="1" applyBorder="1" applyAlignment="1">
      <alignment horizontal="center" vertical="center"/>
    </xf>
    <xf numFmtId="10" fontId="4" fillId="0" borderId="5" xfId="2" applyNumberFormat="1" applyFont="1" applyBorder="1" applyAlignment="1">
      <alignment horizontal="center" vertical="center"/>
    </xf>
    <xf numFmtId="10" fontId="4" fillId="0" borderId="1" xfId="2" applyNumberFormat="1" applyFont="1" applyBorder="1" applyAlignment="1">
      <alignment horizontal="center" vertical="center"/>
    </xf>
    <xf numFmtId="10" fontId="4" fillId="0" borderId="8" xfId="2" applyNumberFormat="1" applyFont="1" applyBorder="1" applyAlignment="1">
      <alignment horizontal="center" vertical="center"/>
    </xf>
    <xf numFmtId="10" fontId="4" fillId="0" borderId="18" xfId="2" applyNumberFormat="1" applyFont="1" applyBorder="1" applyAlignment="1">
      <alignment horizontal="center" vertical="center"/>
    </xf>
    <xf numFmtId="10" fontId="0" fillId="0" borderId="0" xfId="2" applyNumberFormat="1" applyFo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4" borderId="5" xfId="4" applyBorder="1" applyAlignment="1">
      <alignment horizontal="center" vertical="center"/>
    </xf>
    <xf numFmtId="176" fontId="1" fillId="4" borderId="5" xfId="4" applyNumberFormat="1" applyBorder="1" applyAlignment="1">
      <alignment horizontal="center" vertical="center"/>
    </xf>
    <xf numFmtId="10" fontId="1" fillId="4" borderId="5" xfId="4" applyNumberFormat="1" applyBorder="1" applyAlignment="1">
      <alignment horizontal="center" vertical="center"/>
    </xf>
    <xf numFmtId="0" fontId="1" fillId="4" borderId="1" xfId="4" applyBorder="1" applyAlignment="1">
      <alignment horizontal="center" vertical="center"/>
    </xf>
    <xf numFmtId="176" fontId="1" fillId="4" borderId="1" xfId="4" applyNumberFormat="1" applyBorder="1" applyAlignment="1">
      <alignment horizontal="center" vertical="center"/>
    </xf>
    <xf numFmtId="10" fontId="1" fillId="4" borderId="1" xfId="4" applyNumberFormat="1" applyBorder="1" applyAlignment="1">
      <alignment horizontal="center" vertical="center"/>
    </xf>
    <xf numFmtId="0" fontId="1" fillId="4" borderId="8" xfId="4" applyBorder="1" applyAlignment="1">
      <alignment horizontal="center" vertical="center"/>
    </xf>
    <xf numFmtId="176" fontId="1" fillId="4" borderId="8" xfId="4" applyNumberFormat="1" applyBorder="1" applyAlignment="1">
      <alignment horizontal="center" vertical="center"/>
    </xf>
    <xf numFmtId="10" fontId="1" fillId="4" borderId="8" xfId="4" applyNumberFormat="1" applyBorder="1" applyAlignment="1">
      <alignment horizontal="center" vertical="center"/>
    </xf>
    <xf numFmtId="0" fontId="1" fillId="4" borderId="17" xfId="4" applyBorder="1" applyAlignment="1">
      <alignment horizontal="center" vertical="center"/>
    </xf>
    <xf numFmtId="176" fontId="1" fillId="4" borderId="18" xfId="4" applyNumberFormat="1" applyBorder="1" applyAlignment="1">
      <alignment horizontal="center" vertical="center"/>
    </xf>
    <xf numFmtId="10" fontId="1" fillId="4" borderId="18" xfId="4" applyNumberFormat="1" applyBorder="1" applyAlignment="1">
      <alignment horizontal="center" vertical="center"/>
    </xf>
    <xf numFmtId="0" fontId="1" fillId="4" borderId="7" xfId="4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0" xfId="1" applyFont="1" applyBorder="1" applyAlignment="1">
      <alignment horizontal="center" vertical="center"/>
    </xf>
    <xf numFmtId="0" fontId="4" fillId="2" borderId="13" xfId="1" applyFont="1" applyBorder="1" applyAlignment="1">
      <alignment horizontal="center" vertical="center"/>
    </xf>
    <xf numFmtId="0" fontId="4" fillId="2" borderId="14" xfId="1" applyFont="1" applyBorder="1" applyAlignment="1">
      <alignment horizontal="center" vertical="center"/>
    </xf>
    <xf numFmtId="0" fontId="4" fillId="2" borderId="22" xfId="1" applyFont="1" applyBorder="1" applyAlignment="1">
      <alignment horizontal="center" vertical="center"/>
    </xf>
    <xf numFmtId="0" fontId="1" fillId="2" borderId="16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10" fontId="4" fillId="0" borderId="19" xfId="0" applyNumberFormat="1" applyFont="1" applyBorder="1" applyAlignment="1">
      <alignment horizontal="center" vertical="center"/>
    </xf>
    <xf numFmtId="10" fontId="4" fillId="0" borderId="20" xfId="0" applyNumberFormat="1" applyFont="1" applyBorder="1" applyAlignment="1">
      <alignment horizontal="center" vertical="center"/>
    </xf>
    <xf numFmtId="10" fontId="4" fillId="0" borderId="19" xfId="2" applyNumberFormat="1" applyFont="1" applyBorder="1" applyAlignment="1">
      <alignment horizontal="center" vertical="center"/>
    </xf>
    <xf numFmtId="10" fontId="4" fillId="0" borderId="20" xfId="2" applyNumberFormat="1" applyFont="1" applyBorder="1" applyAlignment="1">
      <alignment horizontal="center" vertical="center"/>
    </xf>
    <xf numFmtId="0" fontId="1" fillId="3" borderId="16" xfId="3" applyBorder="1" applyAlignment="1">
      <alignment horizontal="center" vertical="center"/>
    </xf>
    <xf numFmtId="0" fontId="1" fillId="3" borderId="6" xfId="3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0" fontId="1" fillId="4" borderId="19" xfId="4" applyNumberFormat="1" applyBorder="1" applyAlignment="1">
      <alignment horizontal="center" vertical="center"/>
    </xf>
    <xf numFmtId="10" fontId="1" fillId="4" borderId="20" xfId="4" applyNumberFormat="1" applyBorder="1" applyAlignment="1">
      <alignment horizontal="center" vertical="center"/>
    </xf>
    <xf numFmtId="0" fontId="1" fillId="3" borderId="9" xfId="3" applyBorder="1" applyAlignment="1">
      <alignment horizontal="center" vertical="center"/>
    </xf>
    <xf numFmtId="0" fontId="1" fillId="3" borderId="25" xfId="3" applyBorder="1" applyAlignment="1">
      <alignment horizontal="center" vertical="center"/>
    </xf>
    <xf numFmtId="0" fontId="1" fillId="3" borderId="26" xfId="3" applyBorder="1" applyAlignment="1">
      <alignment horizontal="center" vertical="center"/>
    </xf>
    <xf numFmtId="0" fontId="1" fillId="5" borderId="16" xfId="5" applyBorder="1" applyAlignment="1">
      <alignment horizontal="center" vertical="center"/>
    </xf>
    <xf numFmtId="0" fontId="1" fillId="5" borderId="6" xfId="5" applyBorder="1" applyAlignment="1">
      <alignment horizontal="center" vertical="center"/>
    </xf>
    <xf numFmtId="0" fontId="1" fillId="5" borderId="11" xfId="5" applyBorder="1" applyAlignment="1">
      <alignment horizontal="center" vertical="center"/>
    </xf>
    <xf numFmtId="0" fontId="1" fillId="5" borderId="12" xfId="5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0" fontId="4" fillId="0" borderId="8" xfId="0" applyNumberFormat="1" applyFont="1" applyBorder="1" applyAlignment="1">
      <alignment horizontal="center" vertical="center"/>
    </xf>
    <xf numFmtId="10" fontId="4" fillId="0" borderId="5" xfId="2" applyNumberFormat="1" applyFont="1" applyBorder="1" applyAlignment="1">
      <alignment horizontal="center" vertical="center"/>
    </xf>
    <xf numFmtId="10" fontId="4" fillId="0" borderId="8" xfId="2" applyNumberFormat="1" applyFont="1" applyBorder="1" applyAlignment="1">
      <alignment horizontal="center" vertical="center"/>
    </xf>
    <xf numFmtId="10" fontId="1" fillId="4" borderId="5" xfId="4" applyNumberFormat="1" applyBorder="1" applyAlignment="1">
      <alignment horizontal="center" vertical="center"/>
    </xf>
    <xf numFmtId="10" fontId="1" fillId="4" borderId="8" xfId="4" applyNumberForma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3" borderId="11" xfId="3" applyBorder="1" applyAlignment="1">
      <alignment horizontal="center" vertical="center"/>
    </xf>
    <xf numFmtId="0" fontId="1" fillId="3" borderId="12" xfId="3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0" fontId="4" fillId="0" borderId="21" xfId="0" applyNumberFormat="1" applyFont="1" applyBorder="1" applyAlignment="1">
      <alignment horizontal="center" vertical="center"/>
    </xf>
    <xf numFmtId="10" fontId="4" fillId="0" borderId="21" xfId="2" applyNumberFormat="1" applyFont="1" applyBorder="1" applyAlignment="1">
      <alignment horizontal="center" vertical="center"/>
    </xf>
    <xf numFmtId="10" fontId="4" fillId="0" borderId="1" xfId="2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1" fillId="4" borderId="1" xfId="4" applyNumberFormat="1" applyBorder="1" applyAlignment="1">
      <alignment horizontal="center" vertical="center"/>
    </xf>
    <xf numFmtId="0" fontId="1" fillId="5" borderId="3" xfId="5" applyBorder="1" applyAlignment="1">
      <alignment horizontal="center" vertical="center"/>
    </xf>
    <xf numFmtId="0" fontId="1" fillId="5" borderId="9" xfId="5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5" borderId="15" xfId="5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</cellXfs>
  <cellStyles count="6">
    <cellStyle name="20% - 강조색1" xfId="1" builtinId="30"/>
    <cellStyle name="20% - 강조색2" xfId="3" builtinId="34"/>
    <cellStyle name="20% - 강조색4" xfId="4" builtinId="42"/>
    <cellStyle name="20% - 강조색5" xfId="5" builtinId="46"/>
    <cellStyle name="백분율" xfId="2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7" x14ac:dyDescent="0.45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11"/>
  <sheetViews>
    <sheetView tabSelected="1" topLeftCell="A372" zoomScale="73" zoomScaleNormal="84" workbookViewId="0">
      <selection activeCell="K386" sqref="K386:K387"/>
    </sheetView>
  </sheetViews>
  <sheetFormatPr defaultRowHeight="17" x14ac:dyDescent="0.45"/>
  <cols>
    <col min="1" max="1" width="10.08203125" customWidth="1"/>
    <col min="2" max="2" width="17" customWidth="1"/>
    <col min="3" max="3" width="14.25" customWidth="1"/>
    <col min="4" max="6" width="10.58203125" customWidth="1"/>
    <col min="7" max="7" width="10.58203125" style="17" customWidth="1"/>
    <col min="8" max="9" width="10.58203125" customWidth="1"/>
    <col min="10" max="10" width="10.58203125" style="25" customWidth="1"/>
    <col min="11" max="13" width="10.58203125" style="17" customWidth="1"/>
    <col min="14" max="14" width="10.58203125" style="25" customWidth="1"/>
    <col min="15" max="15" width="10.58203125" customWidth="1"/>
    <col min="27" max="27" width="25.9140625" customWidth="1"/>
  </cols>
  <sheetData>
    <row r="1" spans="1:27" ht="17.5" thickBot="1" x14ac:dyDescent="0.5">
      <c r="A1" s="2" t="s">
        <v>8</v>
      </c>
      <c r="B1" s="2" t="s">
        <v>9</v>
      </c>
      <c r="C1" s="2" t="s">
        <v>10</v>
      </c>
      <c r="D1" s="5" t="s">
        <v>1</v>
      </c>
      <c r="E1" s="5" t="s">
        <v>2</v>
      </c>
      <c r="F1" s="5" t="s">
        <v>23</v>
      </c>
      <c r="G1" s="16" t="s">
        <v>19</v>
      </c>
      <c r="H1" s="5" t="s">
        <v>25</v>
      </c>
      <c r="I1" s="5" t="s">
        <v>24</v>
      </c>
      <c r="J1" s="20" t="s">
        <v>20</v>
      </c>
      <c r="K1" s="16" t="s">
        <v>26</v>
      </c>
      <c r="L1" s="16" t="s">
        <v>3</v>
      </c>
      <c r="M1" s="16" t="s">
        <v>27</v>
      </c>
      <c r="N1" s="20" t="s">
        <v>28</v>
      </c>
      <c r="O1" s="1"/>
      <c r="P1" s="18"/>
      <c r="Q1" s="18"/>
      <c r="R1" s="18"/>
      <c r="S1" s="18"/>
      <c r="T1" s="18"/>
      <c r="U1" s="18" t="s">
        <v>21</v>
      </c>
      <c r="V1" s="18"/>
    </row>
    <row r="2" spans="1:27" ht="17.5" thickTop="1" x14ac:dyDescent="0.45">
      <c r="A2" s="46" t="s">
        <v>0</v>
      </c>
      <c r="B2" s="85" t="s">
        <v>11</v>
      </c>
      <c r="C2" s="6" t="s">
        <v>6</v>
      </c>
      <c r="D2" s="7">
        <v>3829</v>
      </c>
      <c r="E2" s="7">
        <v>12973</v>
      </c>
      <c r="F2" s="7">
        <v>16802</v>
      </c>
      <c r="G2" s="12">
        <v>0.37059999999999998</v>
      </c>
      <c r="H2" s="52">
        <f>G3-G2</f>
        <v>0.21129999999999999</v>
      </c>
      <c r="I2" s="7">
        <v>21696</v>
      </c>
      <c r="J2" s="21">
        <v>0.52039999999999997</v>
      </c>
      <c r="K2" s="52">
        <f>J3-J2</f>
        <v>-9.209999999999996E-2</v>
      </c>
      <c r="L2" s="7">
        <v>38752</v>
      </c>
      <c r="M2" s="12">
        <v>0.44130000000000003</v>
      </c>
      <c r="N2" s="54">
        <f>M3-M2</f>
        <v>6.789999999999996E-2</v>
      </c>
      <c r="O2" s="1"/>
      <c r="P2" s="1"/>
    </row>
    <row r="3" spans="1:27" ht="17.5" thickBot="1" x14ac:dyDescent="0.5">
      <c r="A3" s="47"/>
      <c r="B3" s="86"/>
      <c r="C3" s="3" t="s">
        <v>7</v>
      </c>
      <c r="D3" s="4">
        <v>5929</v>
      </c>
      <c r="E3" s="4">
        <v>20450</v>
      </c>
      <c r="F3" s="4">
        <f t="shared" ref="F3:F10" si="0">SUM(D3:E3)</f>
        <v>26379</v>
      </c>
      <c r="G3" s="13">
        <v>0.58189999999999997</v>
      </c>
      <c r="H3" s="53"/>
      <c r="I3" s="4">
        <v>17856</v>
      </c>
      <c r="J3" s="22">
        <v>0.42830000000000001</v>
      </c>
      <c r="K3" s="53"/>
      <c r="L3" s="4">
        <v>44713</v>
      </c>
      <c r="M3" s="13">
        <v>0.50919999999999999</v>
      </c>
      <c r="N3" s="55"/>
      <c r="O3" s="1"/>
      <c r="P3" s="1"/>
      <c r="Q3" s="18"/>
      <c r="R3" s="18"/>
      <c r="S3" s="18"/>
      <c r="T3" s="18"/>
      <c r="U3" s="1" t="s">
        <v>22</v>
      </c>
      <c r="V3" s="18"/>
    </row>
    <row r="4" spans="1:27" ht="17.5" thickTop="1" x14ac:dyDescent="0.45">
      <c r="A4" s="47"/>
      <c r="B4" s="85" t="s">
        <v>12</v>
      </c>
      <c r="C4" s="6" t="s">
        <v>6</v>
      </c>
      <c r="D4" s="7">
        <v>5713</v>
      </c>
      <c r="E4" s="7">
        <v>17101</v>
      </c>
      <c r="F4" s="7">
        <f t="shared" si="0"/>
        <v>22814</v>
      </c>
      <c r="G4" s="12">
        <v>0.39229999999999998</v>
      </c>
      <c r="H4" s="52">
        <f>G5-G4</f>
        <v>0.21540000000000004</v>
      </c>
      <c r="I4" s="7">
        <v>35659</v>
      </c>
      <c r="J4" s="21">
        <f>I4/(I4+I5)</f>
        <v>0.54813619245254019</v>
      </c>
      <c r="K4" s="52">
        <f>J5-J4</f>
        <v>-9.6272384905080333E-2</v>
      </c>
      <c r="L4" s="7">
        <v>58726</v>
      </c>
      <c r="M4" s="12">
        <f>L4/(L4+L5)</f>
        <v>0.47386427822157667</v>
      </c>
      <c r="N4" s="54">
        <f>M5-M4</f>
        <v>5.2271443556846597E-2</v>
      </c>
      <c r="O4" s="1"/>
      <c r="P4" s="1"/>
    </row>
    <row r="5" spans="1:27" ht="17.25" customHeight="1" thickBot="1" x14ac:dyDescent="0.5">
      <c r="A5" s="47"/>
      <c r="B5" s="66"/>
      <c r="C5" s="8" t="s">
        <v>7</v>
      </c>
      <c r="D5" s="9">
        <v>8513</v>
      </c>
      <c r="E5" s="9">
        <v>26824</v>
      </c>
      <c r="F5" s="9">
        <f t="shared" si="0"/>
        <v>35337</v>
      </c>
      <c r="G5" s="14">
        <v>0.60770000000000002</v>
      </c>
      <c r="H5" s="53"/>
      <c r="I5" s="9">
        <v>29396</v>
      </c>
      <c r="J5" s="23">
        <f>I5/(I5+I4)</f>
        <v>0.45186380754745986</v>
      </c>
      <c r="K5" s="53"/>
      <c r="L5" s="9">
        <v>65204</v>
      </c>
      <c r="M5" s="14">
        <f>L5/(L5+L4)</f>
        <v>0.52613572177842327</v>
      </c>
      <c r="N5" s="55"/>
      <c r="O5" s="1"/>
      <c r="P5" s="19"/>
      <c r="Q5" s="19"/>
      <c r="R5" s="19"/>
      <c r="S5" s="19"/>
      <c r="T5" s="19"/>
      <c r="U5" s="89" t="s">
        <v>267</v>
      </c>
      <c r="V5" s="89"/>
      <c r="W5" s="89"/>
      <c r="X5" s="89"/>
      <c r="Y5" s="89"/>
      <c r="Z5" s="89"/>
      <c r="AA5" s="89"/>
    </row>
    <row r="6" spans="1:27" ht="17.5" thickTop="1" x14ac:dyDescent="0.45">
      <c r="A6" s="47"/>
      <c r="B6" s="85" t="s">
        <v>13</v>
      </c>
      <c r="C6" s="6" t="s">
        <v>6</v>
      </c>
      <c r="D6" s="7">
        <v>5773</v>
      </c>
      <c r="E6" s="7">
        <v>17714</v>
      </c>
      <c r="F6" s="7">
        <f t="shared" si="0"/>
        <v>23487</v>
      </c>
      <c r="G6" s="12">
        <v>0.4133</v>
      </c>
      <c r="H6" s="52">
        <f>G7-G6</f>
        <v>0.16769999999999996</v>
      </c>
      <c r="I6" s="7">
        <v>35159</v>
      </c>
      <c r="J6" s="21">
        <v>0.55149999999999999</v>
      </c>
      <c r="K6" s="54">
        <f>J7-J6</f>
        <v>-0.11030000000000001</v>
      </c>
      <c r="L6" s="7">
        <v>58961</v>
      </c>
      <c r="M6" s="12">
        <v>0.4854</v>
      </c>
      <c r="N6" s="54">
        <f>M7-M6</f>
        <v>2.2999999999999965E-2</v>
      </c>
      <c r="O6" s="1"/>
      <c r="P6" s="19"/>
      <c r="Q6" s="19"/>
      <c r="R6" s="19"/>
      <c r="S6" s="19"/>
      <c r="T6" s="19"/>
      <c r="U6" s="89"/>
      <c r="V6" s="89"/>
      <c r="W6" s="89"/>
      <c r="X6" s="89"/>
      <c r="Y6" s="89"/>
      <c r="Z6" s="89"/>
      <c r="AA6" s="89"/>
    </row>
    <row r="7" spans="1:27" ht="17.5" thickBot="1" x14ac:dyDescent="0.5">
      <c r="A7" s="47"/>
      <c r="B7" s="86"/>
      <c r="C7" s="3" t="s">
        <v>7</v>
      </c>
      <c r="D7" s="4">
        <v>8190</v>
      </c>
      <c r="E7" s="4">
        <v>24827</v>
      </c>
      <c r="F7" s="4">
        <f t="shared" si="0"/>
        <v>33017</v>
      </c>
      <c r="G7" s="13">
        <v>0.58099999999999996</v>
      </c>
      <c r="H7" s="53"/>
      <c r="I7" s="4">
        <v>28127</v>
      </c>
      <c r="J7" s="22">
        <v>0.44119999999999998</v>
      </c>
      <c r="K7" s="55"/>
      <c r="L7" s="4">
        <v>61728</v>
      </c>
      <c r="M7" s="13">
        <v>0.50839999999999996</v>
      </c>
      <c r="N7" s="55"/>
      <c r="O7" s="1"/>
      <c r="P7" s="19"/>
      <c r="Q7" s="19"/>
      <c r="R7" s="19"/>
      <c r="S7" s="19"/>
      <c r="T7" s="19"/>
      <c r="U7" s="89"/>
      <c r="V7" s="89"/>
      <c r="W7" s="89"/>
      <c r="X7" s="89"/>
      <c r="Y7" s="89"/>
      <c r="Z7" s="89"/>
      <c r="AA7" s="89"/>
    </row>
    <row r="8" spans="1:27" ht="17.5" thickTop="1" x14ac:dyDescent="0.45">
      <c r="A8" s="47"/>
      <c r="B8" s="87" t="s">
        <v>14</v>
      </c>
      <c r="C8" s="6" t="s">
        <v>6</v>
      </c>
      <c r="D8" s="7">
        <v>7262</v>
      </c>
      <c r="E8" s="7">
        <v>21584</v>
      </c>
      <c r="F8" s="7">
        <f t="shared" si="0"/>
        <v>28846</v>
      </c>
      <c r="G8" s="12">
        <v>0.4476</v>
      </c>
      <c r="H8" s="52">
        <f>G9-G8</f>
        <v>9.419999999999995E-2</v>
      </c>
      <c r="I8" s="7">
        <v>37268</v>
      </c>
      <c r="J8" s="21">
        <v>0.58689999999999998</v>
      </c>
      <c r="K8" s="52">
        <f>J9-J8</f>
        <v>-0.19399999999999995</v>
      </c>
      <c r="L8" s="7">
        <v>66583</v>
      </c>
      <c r="M8" s="12">
        <v>0.51780000000000004</v>
      </c>
      <c r="N8" s="54">
        <f>M9-M8</f>
        <v>-4.7500000000000042E-2</v>
      </c>
      <c r="O8" s="1"/>
      <c r="P8" s="19"/>
      <c r="Q8" s="19"/>
      <c r="R8" s="19"/>
      <c r="S8" s="19"/>
      <c r="T8" s="19"/>
      <c r="U8" s="89"/>
      <c r="V8" s="89"/>
      <c r="W8" s="89"/>
      <c r="X8" s="89"/>
      <c r="Y8" s="89"/>
      <c r="Z8" s="89"/>
      <c r="AA8" s="89"/>
    </row>
    <row r="9" spans="1:27" ht="17.5" thickBot="1" x14ac:dyDescent="0.5">
      <c r="A9" s="47"/>
      <c r="B9" s="79"/>
      <c r="C9" s="3" t="s">
        <v>7</v>
      </c>
      <c r="D9" s="4">
        <v>9086</v>
      </c>
      <c r="E9" s="4">
        <v>25829</v>
      </c>
      <c r="F9" s="4">
        <f t="shared" si="0"/>
        <v>34915</v>
      </c>
      <c r="G9" s="13">
        <v>0.54179999999999995</v>
      </c>
      <c r="H9" s="53"/>
      <c r="I9" s="4">
        <v>24951</v>
      </c>
      <c r="J9" s="22">
        <v>0.39290000000000003</v>
      </c>
      <c r="K9" s="53"/>
      <c r="L9" s="4">
        <v>60473</v>
      </c>
      <c r="M9" s="13">
        <v>0.4703</v>
      </c>
      <c r="N9" s="55"/>
      <c r="O9" s="1"/>
      <c r="P9" s="19"/>
      <c r="Q9" s="19"/>
      <c r="R9" s="19"/>
      <c r="S9" s="19"/>
      <c r="T9" s="19"/>
      <c r="U9" s="89"/>
      <c r="V9" s="89"/>
      <c r="W9" s="89"/>
      <c r="X9" s="89"/>
      <c r="Y9" s="89"/>
      <c r="Z9" s="89"/>
      <c r="AA9" s="89"/>
    </row>
    <row r="10" spans="1:27" ht="17.5" thickTop="1" x14ac:dyDescent="0.45">
      <c r="A10" s="47"/>
      <c r="B10" s="67" t="s">
        <v>15</v>
      </c>
      <c r="C10" s="6" t="s">
        <v>6</v>
      </c>
      <c r="D10" s="7">
        <v>4758</v>
      </c>
      <c r="E10" s="7">
        <v>14650</v>
      </c>
      <c r="F10" s="7">
        <f t="shared" si="0"/>
        <v>19408</v>
      </c>
      <c r="G10" s="12">
        <f>F10/(F10+F11)</f>
        <v>0.39851337754871563</v>
      </c>
      <c r="H10" s="52">
        <f>G11-G10</f>
        <v>0.20297324490256874</v>
      </c>
      <c r="I10" s="7">
        <v>29777</v>
      </c>
      <c r="J10" s="21">
        <f>I10/(I10+I11)</f>
        <v>0.54950266659285096</v>
      </c>
      <c r="K10" s="52">
        <f>J11-J10</f>
        <v>-9.9005333185701927E-2</v>
      </c>
      <c r="L10" s="7">
        <v>48881</v>
      </c>
      <c r="M10" s="12">
        <f>L10/(L10+L11)</f>
        <v>0.47463732934573633</v>
      </c>
      <c r="N10" s="54">
        <f>M11-M10</f>
        <v>5.072534130852735E-2</v>
      </c>
      <c r="O10" s="1"/>
      <c r="P10" s="19"/>
      <c r="Q10" s="19"/>
      <c r="R10" s="19"/>
      <c r="S10" s="19"/>
      <c r="T10" s="19"/>
      <c r="U10" s="89"/>
      <c r="V10" s="89"/>
      <c r="W10" s="89"/>
      <c r="X10" s="89"/>
      <c r="Y10" s="89"/>
      <c r="Z10" s="89"/>
      <c r="AA10" s="89"/>
    </row>
    <row r="11" spans="1:27" ht="17.5" thickBot="1" x14ac:dyDescent="0.5">
      <c r="A11" s="47"/>
      <c r="B11" s="88"/>
      <c r="C11" s="3" t="s">
        <v>7</v>
      </c>
      <c r="D11" s="4">
        <v>7510</v>
      </c>
      <c r="E11" s="4">
        <v>21783</v>
      </c>
      <c r="F11" s="4">
        <f t="shared" ref="F11:F18" si="1">SUM(D11:E11)</f>
        <v>29293</v>
      </c>
      <c r="G11" s="13">
        <f>F11/(F11+F10)</f>
        <v>0.60148662245128437</v>
      </c>
      <c r="H11" s="80"/>
      <c r="I11" s="4">
        <v>24412</v>
      </c>
      <c r="J11" s="22">
        <f>I11/(I11+I10)</f>
        <v>0.45049733340714904</v>
      </c>
      <c r="K11" s="80"/>
      <c r="L11" s="4">
        <v>54105</v>
      </c>
      <c r="M11" s="13">
        <f>L11/(L11+L10)</f>
        <v>0.52536267065426367</v>
      </c>
      <c r="N11" s="81"/>
      <c r="O11" s="1"/>
      <c r="P11" s="19"/>
      <c r="Q11" s="19"/>
      <c r="R11" s="19"/>
      <c r="S11" s="19"/>
      <c r="T11" s="19"/>
      <c r="U11" s="89"/>
      <c r="V11" s="89"/>
      <c r="W11" s="89"/>
      <c r="X11" s="89"/>
      <c r="Y11" s="89"/>
      <c r="Z11" s="89"/>
      <c r="AA11" s="89"/>
    </row>
    <row r="12" spans="1:27" ht="17.5" thickTop="1" x14ac:dyDescent="0.45">
      <c r="A12" s="47"/>
      <c r="B12" s="67" t="s">
        <v>16</v>
      </c>
      <c r="C12" s="26" t="s">
        <v>17</v>
      </c>
      <c r="D12" s="7">
        <v>4802</v>
      </c>
      <c r="E12" s="7">
        <v>16257</v>
      </c>
      <c r="F12" s="7">
        <f t="shared" si="1"/>
        <v>21059</v>
      </c>
      <c r="G12" s="12">
        <v>0.40770000000000001</v>
      </c>
      <c r="H12" s="69">
        <f>G13-G12</f>
        <v>0.17629999999999996</v>
      </c>
      <c r="I12" s="7">
        <v>28081</v>
      </c>
      <c r="J12" s="21">
        <v>0.54610000000000003</v>
      </c>
      <c r="K12" s="69">
        <f>J13-J12</f>
        <v>-0.10240000000000005</v>
      </c>
      <c r="L12" s="7">
        <v>49347</v>
      </c>
      <c r="M12" s="12">
        <v>0.47599999999999998</v>
      </c>
      <c r="N12" s="71">
        <f>M13-M12</f>
        <v>3.8800000000000057E-2</v>
      </c>
      <c r="O12" s="1"/>
      <c r="P12" s="19"/>
      <c r="Q12" s="19"/>
      <c r="R12" s="19"/>
      <c r="S12" s="19"/>
      <c r="T12" s="19"/>
      <c r="U12" s="89"/>
      <c r="V12" s="89"/>
      <c r="W12" s="89"/>
      <c r="X12" s="89"/>
      <c r="Y12" s="89"/>
      <c r="Z12" s="89"/>
      <c r="AA12" s="89"/>
    </row>
    <row r="13" spans="1:27" ht="17.5" thickBot="1" x14ac:dyDescent="0.5">
      <c r="A13" s="47"/>
      <c r="B13" s="88"/>
      <c r="C13" s="28" t="s">
        <v>18</v>
      </c>
      <c r="D13" s="4">
        <v>7348</v>
      </c>
      <c r="E13" s="4">
        <v>22814</v>
      </c>
      <c r="F13" s="4">
        <f t="shared" si="1"/>
        <v>30162</v>
      </c>
      <c r="G13" s="13">
        <v>0.58399999999999996</v>
      </c>
      <c r="H13" s="83"/>
      <c r="I13" s="4">
        <v>22815</v>
      </c>
      <c r="J13" s="22">
        <v>0.44369999999999998</v>
      </c>
      <c r="K13" s="83"/>
      <c r="L13" s="4">
        <v>53362</v>
      </c>
      <c r="M13" s="13">
        <v>0.51480000000000004</v>
      </c>
      <c r="N13" s="82"/>
      <c r="O13" s="1"/>
      <c r="P13" s="19"/>
      <c r="Q13" s="19"/>
      <c r="R13" s="19"/>
      <c r="S13" s="29"/>
      <c r="T13" s="19"/>
      <c r="U13" s="89"/>
      <c r="V13" s="89"/>
      <c r="W13" s="89"/>
      <c r="X13" s="89"/>
      <c r="Y13" s="89"/>
      <c r="Z13" s="89"/>
      <c r="AA13" s="89"/>
    </row>
    <row r="14" spans="1:27" ht="17.5" thickTop="1" x14ac:dyDescent="0.45">
      <c r="A14" s="47"/>
      <c r="B14" s="67" t="s">
        <v>29</v>
      </c>
      <c r="C14" s="26" t="s">
        <v>6</v>
      </c>
      <c r="D14" s="7">
        <v>5386</v>
      </c>
      <c r="E14" s="7">
        <v>13145</v>
      </c>
      <c r="F14" s="7">
        <f t="shared" si="1"/>
        <v>18531</v>
      </c>
      <c r="G14" s="12">
        <v>0.3821</v>
      </c>
      <c r="H14" s="69">
        <f>G15-G14</f>
        <v>0.21040000000000003</v>
      </c>
      <c r="I14" s="7">
        <v>26640</v>
      </c>
      <c r="J14" s="21">
        <v>0.76070000000000004</v>
      </c>
      <c r="K14" s="69">
        <f>J15-J14</f>
        <v>-5.1200000000000023E-2</v>
      </c>
      <c r="L14" s="7">
        <v>45377</v>
      </c>
      <c r="M14" s="12">
        <v>0.44469999999999998</v>
      </c>
      <c r="N14" s="71">
        <f>M15-M14</f>
        <v>8.4300000000000042E-2</v>
      </c>
      <c r="O14" s="1"/>
      <c r="P14" s="19"/>
      <c r="Q14" s="19"/>
      <c r="R14" s="19"/>
      <c r="S14" s="19"/>
      <c r="T14" s="19"/>
      <c r="U14" s="89"/>
      <c r="V14" s="89"/>
      <c r="W14" s="89"/>
      <c r="X14" s="89"/>
      <c r="Y14" s="89"/>
      <c r="Z14" s="89"/>
      <c r="AA14" s="89"/>
    </row>
    <row r="15" spans="1:27" ht="17.5" thickBot="1" x14ac:dyDescent="0.5">
      <c r="A15" s="47"/>
      <c r="B15" s="88"/>
      <c r="C15" s="28" t="s">
        <v>7</v>
      </c>
      <c r="D15" s="4">
        <v>9273</v>
      </c>
      <c r="E15" s="4">
        <v>19465</v>
      </c>
      <c r="F15" s="4">
        <f t="shared" si="1"/>
        <v>28738</v>
      </c>
      <c r="G15" s="13">
        <v>0.59250000000000003</v>
      </c>
      <c r="H15" s="83"/>
      <c r="I15" s="4">
        <v>24848</v>
      </c>
      <c r="J15" s="22">
        <v>0.70950000000000002</v>
      </c>
      <c r="K15" s="83"/>
      <c r="L15" s="4">
        <v>53978</v>
      </c>
      <c r="M15" s="13">
        <v>0.52900000000000003</v>
      </c>
      <c r="N15" s="82"/>
      <c r="O15" s="1"/>
      <c r="P15" s="19"/>
      <c r="Q15" s="19"/>
      <c r="R15" s="19"/>
      <c r="S15" s="19"/>
      <c r="T15" s="19"/>
      <c r="U15" s="89"/>
      <c r="V15" s="89"/>
      <c r="W15" s="89"/>
      <c r="X15" s="89"/>
      <c r="Y15" s="89"/>
      <c r="Z15" s="89"/>
      <c r="AA15" s="89"/>
    </row>
    <row r="16" spans="1:27" ht="17.5" thickTop="1" x14ac:dyDescent="0.45">
      <c r="A16" s="47"/>
      <c r="B16" s="67" t="s">
        <v>30</v>
      </c>
      <c r="C16" s="30" t="s">
        <v>6</v>
      </c>
      <c r="D16" s="31">
        <v>4547</v>
      </c>
      <c r="E16" s="31">
        <v>14345</v>
      </c>
      <c r="F16" s="31">
        <f t="shared" si="1"/>
        <v>18892</v>
      </c>
      <c r="G16" s="32">
        <f>F16/(F16+F17)</f>
        <v>0.39060497043377579</v>
      </c>
      <c r="H16" s="73">
        <f>G17-G16</f>
        <v>0.21879005913244837</v>
      </c>
      <c r="I16" s="31">
        <v>29349</v>
      </c>
      <c r="J16" s="32">
        <f>I16/(I16+I17)</f>
        <v>0.50768911415177564</v>
      </c>
      <c r="K16" s="73">
        <f>J17-J16</f>
        <v>-1.5378228303551345E-2</v>
      </c>
      <c r="L16" s="31">
        <v>48408</v>
      </c>
      <c r="M16" s="32">
        <f>L16/(L16+L17)</f>
        <v>0.45370873713610888</v>
      </c>
      <c r="N16" s="73">
        <f>M17-M16</f>
        <v>9.2582525727782305E-2</v>
      </c>
      <c r="O16" s="1"/>
      <c r="P16" s="19"/>
      <c r="Q16" s="19"/>
      <c r="R16" s="19"/>
      <c r="S16" s="19"/>
      <c r="T16" s="19"/>
      <c r="U16" s="89"/>
      <c r="V16" s="89"/>
      <c r="W16" s="89"/>
      <c r="X16" s="89"/>
      <c r="Y16" s="89"/>
      <c r="Z16" s="89"/>
      <c r="AA16" s="89"/>
    </row>
    <row r="17" spans="1:27" ht="17.5" thickBot="1" x14ac:dyDescent="0.5">
      <c r="A17" s="47"/>
      <c r="B17" s="88"/>
      <c r="C17" s="33" t="s">
        <v>7</v>
      </c>
      <c r="D17" s="34">
        <v>7722</v>
      </c>
      <c r="E17" s="34">
        <v>21752</v>
      </c>
      <c r="F17" s="34">
        <f t="shared" si="1"/>
        <v>29474</v>
      </c>
      <c r="G17" s="35">
        <f>F17/(F17+F16)</f>
        <v>0.60939502956622416</v>
      </c>
      <c r="H17" s="84"/>
      <c r="I17" s="34">
        <v>28460</v>
      </c>
      <c r="J17" s="35">
        <f>I17/(I17+I16)</f>
        <v>0.4923108858482243</v>
      </c>
      <c r="K17" s="84"/>
      <c r="L17" s="34">
        <v>58286</v>
      </c>
      <c r="M17" s="35">
        <f>L17/(L17+L16)</f>
        <v>0.54629126286389118</v>
      </c>
      <c r="N17" s="84"/>
      <c r="O17" s="1"/>
      <c r="P17" s="19"/>
      <c r="Q17" s="19"/>
      <c r="R17" s="19"/>
      <c r="S17" s="19"/>
      <c r="T17" s="19"/>
      <c r="U17" s="45" t="s">
        <v>131</v>
      </c>
      <c r="V17" s="45"/>
      <c r="W17" s="45"/>
      <c r="X17" s="45"/>
      <c r="Y17" s="45"/>
      <c r="Z17" s="45"/>
      <c r="AA17" s="45"/>
    </row>
    <row r="18" spans="1:27" ht="17.5" thickTop="1" x14ac:dyDescent="0.45">
      <c r="A18" s="47"/>
      <c r="B18" s="67" t="s">
        <v>31</v>
      </c>
      <c r="C18" s="26" t="s">
        <v>6</v>
      </c>
      <c r="D18" s="7">
        <v>3575</v>
      </c>
      <c r="E18" s="7">
        <v>12807</v>
      </c>
      <c r="F18" s="7">
        <f t="shared" si="1"/>
        <v>16382</v>
      </c>
      <c r="G18" s="12">
        <f>F18/(F18+F19)</f>
        <v>0.32850725916419349</v>
      </c>
      <c r="H18" s="69">
        <f>G19-G18</f>
        <v>0.34298548167161308</v>
      </c>
      <c r="I18" s="7">
        <v>20942</v>
      </c>
      <c r="J18" s="21">
        <f>I18/(I18+I19)</f>
        <v>0.4359102452021148</v>
      </c>
      <c r="K18" s="69">
        <f>J19-J18</f>
        <v>0.12817950959577035</v>
      </c>
      <c r="L18" s="7">
        <v>37429</v>
      </c>
      <c r="M18" s="12">
        <f>L18/(L18+L19)</f>
        <v>0.38072423965008645</v>
      </c>
      <c r="N18" s="71">
        <f>M19-M18</f>
        <v>0.23855152069982705</v>
      </c>
      <c r="O18" s="1"/>
      <c r="P18" s="19"/>
      <c r="Q18" s="19"/>
      <c r="R18" s="19"/>
      <c r="S18" s="19"/>
      <c r="T18" s="19"/>
      <c r="U18" s="45"/>
      <c r="V18" s="45"/>
      <c r="W18" s="45"/>
      <c r="X18" s="45"/>
      <c r="Y18" s="45"/>
      <c r="Z18" s="45"/>
      <c r="AA18" s="45"/>
    </row>
    <row r="19" spans="1:27" ht="17.5" thickBot="1" x14ac:dyDescent="0.5">
      <c r="A19" s="47"/>
      <c r="B19" s="88"/>
      <c r="C19" s="28" t="s">
        <v>7</v>
      </c>
      <c r="D19" s="4">
        <v>8201</v>
      </c>
      <c r="E19" s="4">
        <v>25285</v>
      </c>
      <c r="F19" s="4">
        <f>SUM(E19,D19)</f>
        <v>33486</v>
      </c>
      <c r="G19" s="13">
        <f>F19/(F19+F18)</f>
        <v>0.67149274083580657</v>
      </c>
      <c r="H19" s="83"/>
      <c r="I19" s="4">
        <v>27100</v>
      </c>
      <c r="J19" s="22">
        <f>I19/(I19+I18)</f>
        <v>0.56408975479788515</v>
      </c>
      <c r="K19" s="83"/>
      <c r="L19" s="4">
        <v>60881</v>
      </c>
      <c r="M19" s="13">
        <f>L19/(L19+L18)</f>
        <v>0.6192757603499135</v>
      </c>
      <c r="N19" s="82"/>
      <c r="O19" s="1"/>
      <c r="P19" s="19"/>
      <c r="Q19" s="19"/>
      <c r="R19" s="19"/>
      <c r="S19" s="19"/>
      <c r="T19" s="19"/>
      <c r="U19" s="45"/>
      <c r="V19" s="45"/>
      <c r="W19" s="45"/>
      <c r="X19" s="45"/>
      <c r="Y19" s="45"/>
      <c r="Z19" s="45"/>
      <c r="AA19" s="45"/>
    </row>
    <row r="20" spans="1:27" ht="17.5" thickTop="1" x14ac:dyDescent="0.45">
      <c r="A20" s="47"/>
      <c r="B20" s="67" t="s">
        <v>32</v>
      </c>
      <c r="C20" s="26" t="s">
        <v>6</v>
      </c>
      <c r="D20" s="7">
        <v>4722</v>
      </c>
      <c r="E20" s="7">
        <v>16540</v>
      </c>
      <c r="F20" s="7">
        <f>SUM(E20,D20)</f>
        <v>21262</v>
      </c>
      <c r="G20" s="12">
        <f>F20/(F20+F21)</f>
        <v>0.35774136016421576</v>
      </c>
      <c r="H20" s="69">
        <f>G21-G20</f>
        <v>0.28451727967156848</v>
      </c>
      <c r="I20" s="7">
        <v>32437</v>
      </c>
      <c r="J20" s="21">
        <f>I20/(I20+I21)</f>
        <v>0.48113977186762985</v>
      </c>
      <c r="K20" s="69">
        <f>J21-J20</f>
        <v>3.7720456264740354E-2</v>
      </c>
      <c r="L20" s="7">
        <v>53898</v>
      </c>
      <c r="M20" s="12">
        <f>L20/(L20+L21)</f>
        <v>0.42273604291832029</v>
      </c>
      <c r="N20" s="71">
        <f>M21-M20</f>
        <v>0.15452791416335937</v>
      </c>
      <c r="O20" s="1"/>
      <c r="P20" s="19"/>
      <c r="Q20" s="19"/>
      <c r="R20" s="19"/>
      <c r="S20" s="19"/>
      <c r="T20" s="19"/>
      <c r="U20" s="45" t="s">
        <v>132</v>
      </c>
      <c r="V20" s="45"/>
      <c r="W20" s="45"/>
      <c r="X20" s="45"/>
      <c r="Y20" s="45"/>
      <c r="Z20" s="45"/>
      <c r="AA20" s="45"/>
    </row>
    <row r="21" spans="1:27" ht="17" customHeight="1" thickBot="1" x14ac:dyDescent="0.5">
      <c r="A21" s="47"/>
      <c r="B21" s="68"/>
      <c r="C21" s="27" t="s">
        <v>7</v>
      </c>
      <c r="D21" s="9">
        <v>9567</v>
      </c>
      <c r="E21" s="9">
        <v>28605</v>
      </c>
      <c r="F21" s="9">
        <f>SUM(D21,E21)</f>
        <v>38172</v>
      </c>
      <c r="G21" s="14">
        <f>F21/(F21+F20)</f>
        <v>0.64225863983578424</v>
      </c>
      <c r="H21" s="70"/>
      <c r="I21" s="9">
        <v>34980</v>
      </c>
      <c r="J21" s="23">
        <f>I21/(I21+I20)</f>
        <v>0.5188602281323702</v>
      </c>
      <c r="K21" s="70"/>
      <c r="L21" s="9">
        <v>73600</v>
      </c>
      <c r="M21" s="14">
        <f>L21/(L21+L20)</f>
        <v>0.57726395708167966</v>
      </c>
      <c r="N21" s="72"/>
      <c r="O21" s="1"/>
      <c r="P21" s="19"/>
      <c r="Q21" s="19"/>
      <c r="R21" s="19"/>
      <c r="S21" s="19"/>
      <c r="T21" s="19"/>
      <c r="U21" s="45" t="s">
        <v>240</v>
      </c>
      <c r="V21" s="45"/>
      <c r="W21" s="45"/>
      <c r="X21" s="45"/>
      <c r="Y21" s="45"/>
      <c r="Z21" s="45"/>
      <c r="AA21" s="45"/>
    </row>
    <row r="22" spans="1:27" ht="16.5" customHeight="1" thickTop="1" x14ac:dyDescent="0.45">
      <c r="A22" s="47"/>
      <c r="B22" s="67" t="s">
        <v>33</v>
      </c>
      <c r="C22" s="26" t="s">
        <v>6</v>
      </c>
      <c r="D22" s="7">
        <v>5368</v>
      </c>
      <c r="E22" s="7">
        <v>16943</v>
      </c>
      <c r="F22" s="7">
        <f t="shared" ref="F22:F32" si="2">SUM(D22:E22)</f>
        <v>22311</v>
      </c>
      <c r="G22" s="12">
        <v>0.3301</v>
      </c>
      <c r="H22" s="69">
        <f>G23-G22</f>
        <v>0.29389999999999999</v>
      </c>
      <c r="I22" s="7">
        <v>29972</v>
      </c>
      <c r="J22" s="21">
        <v>0.45650000000000002</v>
      </c>
      <c r="K22" s="69">
        <f>J23-J22</f>
        <v>2.9399999999999982E-2</v>
      </c>
      <c r="L22" s="7">
        <v>52511</v>
      </c>
      <c r="M22" s="12">
        <v>0.39140000000000003</v>
      </c>
      <c r="N22" s="71">
        <f>M23-M22</f>
        <v>0.16549999999999992</v>
      </c>
      <c r="O22" s="1"/>
      <c r="P22" s="19"/>
      <c r="Q22" s="19"/>
      <c r="R22" s="19"/>
      <c r="S22" s="19"/>
      <c r="T22" s="19"/>
      <c r="U22" s="45" t="s">
        <v>241</v>
      </c>
      <c r="V22" s="45"/>
      <c r="W22" s="45"/>
      <c r="X22" s="45"/>
      <c r="Y22" s="45"/>
      <c r="Z22" s="45"/>
      <c r="AA22" s="45"/>
    </row>
    <row r="23" spans="1:27" ht="17.5" thickBot="1" x14ac:dyDescent="0.5">
      <c r="A23" s="47"/>
      <c r="B23" s="68"/>
      <c r="C23" s="27" t="s">
        <v>7</v>
      </c>
      <c r="D23" s="9">
        <v>11047</v>
      </c>
      <c r="E23" s="9">
        <v>31133</v>
      </c>
      <c r="F23" s="9">
        <f t="shared" si="2"/>
        <v>42180</v>
      </c>
      <c r="G23" s="14">
        <v>0.624</v>
      </c>
      <c r="H23" s="70"/>
      <c r="I23" s="9">
        <v>31906</v>
      </c>
      <c r="J23" s="23">
        <v>0.4859</v>
      </c>
      <c r="K23" s="70"/>
      <c r="L23" s="9">
        <v>74707</v>
      </c>
      <c r="M23" s="14">
        <v>0.55689999999999995</v>
      </c>
      <c r="N23" s="72"/>
      <c r="O23" s="1"/>
      <c r="P23" s="19"/>
      <c r="Q23" s="19"/>
      <c r="R23" s="19"/>
      <c r="S23" s="19"/>
      <c r="T23" s="19"/>
      <c r="U23" s="45" t="s">
        <v>242</v>
      </c>
      <c r="V23" s="45"/>
      <c r="W23" s="45"/>
      <c r="X23" s="45"/>
      <c r="Y23" s="45"/>
      <c r="Z23" s="45"/>
      <c r="AA23" s="45"/>
    </row>
    <row r="24" spans="1:27" ht="17.5" thickTop="1" x14ac:dyDescent="0.45">
      <c r="A24" s="47"/>
      <c r="B24" s="67" t="s">
        <v>34</v>
      </c>
      <c r="C24" s="26" t="s">
        <v>6</v>
      </c>
      <c r="D24" s="7">
        <v>5390</v>
      </c>
      <c r="E24" s="7">
        <v>14709</v>
      </c>
      <c r="F24" s="7">
        <f t="shared" si="2"/>
        <v>20099</v>
      </c>
      <c r="G24" s="12">
        <f>F24/(F24+F25)</f>
        <v>0.36311244399479692</v>
      </c>
      <c r="H24" s="69">
        <f>G25-G24</f>
        <v>0.27377511201040616</v>
      </c>
      <c r="I24" s="7">
        <v>32022</v>
      </c>
      <c r="J24" s="21">
        <f>I24/(I24+I25)</f>
        <v>0.49118016995429026</v>
      </c>
      <c r="K24" s="69">
        <f>J25-J24</f>
        <v>1.7639660091419485E-2</v>
      </c>
      <c r="L24" s="7">
        <v>52328</v>
      </c>
      <c r="M24" s="12">
        <f>L24/(L24+L25)</f>
        <v>0.43174917491749176</v>
      </c>
      <c r="N24" s="71">
        <f>M25-M24</f>
        <v>0.13650165016501647</v>
      </c>
      <c r="O24" s="1"/>
      <c r="P24" s="19"/>
      <c r="Q24" s="19"/>
      <c r="R24" s="19"/>
      <c r="S24" s="19"/>
      <c r="T24" s="19"/>
      <c r="U24" s="29"/>
      <c r="V24" s="29"/>
      <c r="W24" s="29"/>
      <c r="X24" s="29"/>
      <c r="Y24" s="29"/>
      <c r="Z24" s="29"/>
      <c r="AA24" s="29"/>
    </row>
    <row r="25" spans="1:27" ht="17.5" thickBot="1" x14ac:dyDescent="0.5">
      <c r="A25" s="47"/>
      <c r="B25" s="68"/>
      <c r="C25" s="27" t="s">
        <v>7</v>
      </c>
      <c r="D25" s="9">
        <v>9922</v>
      </c>
      <c r="E25" s="9">
        <v>25331</v>
      </c>
      <c r="F25" s="9">
        <f t="shared" si="2"/>
        <v>35253</v>
      </c>
      <c r="G25" s="14">
        <f>F25/(F25+F24)</f>
        <v>0.63688755600520308</v>
      </c>
      <c r="H25" s="70"/>
      <c r="I25" s="9">
        <v>33172</v>
      </c>
      <c r="J25" s="23">
        <f>I25/(I25+I24)</f>
        <v>0.50881983004570974</v>
      </c>
      <c r="K25" s="70"/>
      <c r="L25" s="9">
        <v>68872</v>
      </c>
      <c r="M25" s="14">
        <f>L25/(L25+L24)</f>
        <v>0.56825082508250824</v>
      </c>
      <c r="N25" s="72"/>
      <c r="O25" s="1"/>
      <c r="P25" s="19"/>
      <c r="Q25" s="19"/>
      <c r="R25" s="19"/>
      <c r="S25" s="19"/>
      <c r="T25" s="19"/>
      <c r="U25" s="29"/>
      <c r="V25" s="29"/>
      <c r="W25" s="29"/>
      <c r="X25" s="29"/>
      <c r="Y25" s="29"/>
      <c r="Z25" s="29"/>
      <c r="AA25" s="29"/>
    </row>
    <row r="26" spans="1:27" ht="17.5" thickTop="1" x14ac:dyDescent="0.45">
      <c r="A26" s="47"/>
      <c r="B26" s="67" t="s">
        <v>35</v>
      </c>
      <c r="C26" s="26" t="s">
        <v>6</v>
      </c>
      <c r="D26" s="7">
        <v>3090</v>
      </c>
      <c r="E26" s="7">
        <v>12511</v>
      </c>
      <c r="F26" s="7">
        <f t="shared" si="2"/>
        <v>15601</v>
      </c>
      <c r="G26" s="12">
        <f>F26/(F26+F27)</f>
        <v>0.38997625296837896</v>
      </c>
      <c r="H26" s="69">
        <f>G27-G26</f>
        <v>0.22004749406324214</v>
      </c>
      <c r="I26" s="7">
        <v>19887</v>
      </c>
      <c r="J26" s="21">
        <f>I26/(I26+I27)</f>
        <v>0.46369613878007837</v>
      </c>
      <c r="K26" s="69">
        <f>J27-J26</f>
        <v>7.2607722439843314E-2</v>
      </c>
      <c r="L26" s="7">
        <v>35639</v>
      </c>
      <c r="M26" s="12">
        <f>L26/(L26+L27)</f>
        <v>0.42763378929685625</v>
      </c>
      <c r="N26" s="71">
        <f>M27-M26</f>
        <v>0.1447324214062875</v>
      </c>
      <c r="O26" s="1"/>
      <c r="P26" s="19"/>
      <c r="Q26" s="19"/>
      <c r="R26" s="19"/>
      <c r="S26" s="19"/>
      <c r="T26" s="19"/>
      <c r="U26" s="29"/>
      <c r="V26" s="29"/>
      <c r="W26" s="29"/>
      <c r="X26" s="29"/>
      <c r="Y26" s="29"/>
      <c r="Z26" s="29"/>
      <c r="AA26" s="29"/>
    </row>
    <row r="27" spans="1:27" ht="17.5" thickBot="1" x14ac:dyDescent="0.5">
      <c r="A27" s="47"/>
      <c r="B27" s="68"/>
      <c r="C27" s="27" t="s">
        <v>7</v>
      </c>
      <c r="D27" s="9">
        <v>6400</v>
      </c>
      <c r="E27" s="9">
        <v>18004</v>
      </c>
      <c r="F27" s="9">
        <f t="shared" si="2"/>
        <v>24404</v>
      </c>
      <c r="G27" s="14">
        <f>F27/(F27+F26)</f>
        <v>0.6100237470316211</v>
      </c>
      <c r="H27" s="70"/>
      <c r="I27" s="9">
        <v>23001</v>
      </c>
      <c r="J27" s="23">
        <f>I27/(I27+I26)</f>
        <v>0.53630386121992168</v>
      </c>
      <c r="K27" s="70"/>
      <c r="L27" s="9">
        <v>47701</v>
      </c>
      <c r="M27" s="14">
        <f>L27/(L27+L26)</f>
        <v>0.57236621070314375</v>
      </c>
      <c r="N27" s="72"/>
      <c r="O27" s="1"/>
      <c r="P27" s="19"/>
      <c r="Q27" s="19"/>
      <c r="R27" s="19"/>
      <c r="S27" s="19"/>
      <c r="T27" s="19"/>
      <c r="U27" s="29"/>
      <c r="V27" s="29"/>
      <c r="W27" s="29"/>
      <c r="X27" s="29"/>
      <c r="Y27" s="29"/>
      <c r="Z27" s="29"/>
      <c r="AA27" s="29"/>
    </row>
    <row r="28" spans="1:27" ht="17.5" thickTop="1" x14ac:dyDescent="0.45">
      <c r="A28" s="47"/>
      <c r="B28" s="67" t="s">
        <v>36</v>
      </c>
      <c r="C28" s="26" t="s">
        <v>6</v>
      </c>
      <c r="D28" s="7">
        <v>3669</v>
      </c>
      <c r="E28" s="7">
        <v>10183</v>
      </c>
      <c r="F28" s="7">
        <f t="shared" si="2"/>
        <v>13852</v>
      </c>
      <c r="G28" s="12">
        <v>0.35420000000000001</v>
      </c>
      <c r="H28" s="69">
        <f>G29-G28</f>
        <v>0.23959999999999998</v>
      </c>
      <c r="I28" s="7">
        <v>21031</v>
      </c>
      <c r="J28" s="21">
        <v>0.46970000000000001</v>
      </c>
      <c r="K28" s="69">
        <f>J29-J28</f>
        <v>2.5000000000000022E-3</v>
      </c>
      <c r="L28" s="7">
        <v>34989</v>
      </c>
      <c r="M28" s="12">
        <v>0.41510000000000002</v>
      </c>
      <c r="N28" s="71">
        <f>M29-M28</f>
        <v>0.11429999999999996</v>
      </c>
      <c r="O28" s="1"/>
      <c r="P28" s="19"/>
      <c r="Q28" s="19"/>
      <c r="R28" s="19"/>
      <c r="S28" s="19"/>
      <c r="T28" s="19"/>
      <c r="U28" s="29"/>
      <c r="V28" s="29"/>
      <c r="W28" s="29"/>
      <c r="X28" s="29"/>
      <c r="Y28" s="29"/>
      <c r="Z28" s="29"/>
      <c r="AA28" s="29"/>
    </row>
    <row r="29" spans="1:27" ht="17.5" thickBot="1" x14ac:dyDescent="0.5">
      <c r="A29" s="47"/>
      <c r="B29" s="68"/>
      <c r="C29" s="27" t="s">
        <v>7</v>
      </c>
      <c r="D29" s="9">
        <v>6739</v>
      </c>
      <c r="E29" s="9">
        <v>16486</v>
      </c>
      <c r="F29" s="9">
        <f t="shared" si="2"/>
        <v>23225</v>
      </c>
      <c r="G29" s="14">
        <v>0.59379999999999999</v>
      </c>
      <c r="H29" s="70"/>
      <c r="I29" s="9">
        <v>21143</v>
      </c>
      <c r="J29" s="23">
        <v>0.47220000000000001</v>
      </c>
      <c r="K29" s="70"/>
      <c r="L29" s="9">
        <v>44623</v>
      </c>
      <c r="M29" s="14">
        <v>0.52939999999999998</v>
      </c>
      <c r="N29" s="72"/>
      <c r="O29" s="1"/>
      <c r="P29" s="19"/>
      <c r="Q29" s="19"/>
      <c r="R29" s="19"/>
      <c r="S29" s="19"/>
      <c r="T29" s="19"/>
      <c r="U29" s="29"/>
      <c r="V29" s="29"/>
      <c r="W29" s="29"/>
      <c r="X29" s="29"/>
      <c r="Y29" s="29"/>
      <c r="Z29" s="29"/>
      <c r="AA29" s="29"/>
    </row>
    <row r="30" spans="1:27" ht="17.5" thickTop="1" x14ac:dyDescent="0.45">
      <c r="A30" s="47"/>
      <c r="B30" s="67" t="s">
        <v>37</v>
      </c>
      <c r="C30" s="26" t="s">
        <v>6</v>
      </c>
      <c r="D30" s="7">
        <v>4600</v>
      </c>
      <c r="E30" s="7">
        <v>15645</v>
      </c>
      <c r="F30" s="7">
        <f t="shared" si="2"/>
        <v>20245</v>
      </c>
      <c r="G30" s="12">
        <v>0.4325</v>
      </c>
      <c r="H30" s="69">
        <f>G31-G30</f>
        <v>0.10699999999999998</v>
      </c>
      <c r="I30" s="7">
        <v>25958</v>
      </c>
      <c r="J30" s="21">
        <v>0.55000000000000004</v>
      </c>
      <c r="K30" s="69">
        <f>J31-J30</f>
        <v>-0.13290000000000002</v>
      </c>
      <c r="L30" s="7">
        <v>46374</v>
      </c>
      <c r="M30" s="12">
        <v>0.49059999999999998</v>
      </c>
      <c r="N30" s="71">
        <f>M30-M31</f>
        <v>1.1699999999999988E-2</v>
      </c>
      <c r="O30" s="1"/>
      <c r="P30" s="19"/>
      <c r="Q30" s="19"/>
      <c r="R30" s="19"/>
      <c r="S30" s="19"/>
      <c r="T30" s="19"/>
      <c r="U30" s="29"/>
      <c r="V30" s="29"/>
      <c r="W30" s="29"/>
      <c r="X30" s="29"/>
      <c r="Y30" s="29"/>
      <c r="Z30" s="29"/>
      <c r="AA30" s="29"/>
    </row>
    <row r="31" spans="1:27" ht="17.5" thickBot="1" x14ac:dyDescent="0.5">
      <c r="A31" s="47"/>
      <c r="B31" s="68"/>
      <c r="C31" s="27" t="s">
        <v>7</v>
      </c>
      <c r="D31" s="9">
        <v>6584</v>
      </c>
      <c r="E31" s="9">
        <v>18669</v>
      </c>
      <c r="F31" s="9">
        <f t="shared" si="2"/>
        <v>25253</v>
      </c>
      <c r="G31" s="14">
        <v>0.53949999999999998</v>
      </c>
      <c r="H31" s="70"/>
      <c r="I31" s="9">
        <v>19685</v>
      </c>
      <c r="J31" s="23">
        <v>0.41710000000000003</v>
      </c>
      <c r="K31" s="70"/>
      <c r="L31" s="9">
        <v>45276</v>
      </c>
      <c r="M31" s="14">
        <v>0.47889999999999999</v>
      </c>
      <c r="N31" s="72"/>
      <c r="O31" s="1"/>
      <c r="P31" s="19"/>
      <c r="Q31" s="19"/>
      <c r="R31" s="19"/>
      <c r="S31" s="19"/>
      <c r="T31" s="19"/>
      <c r="U31" s="29"/>
      <c r="V31" s="29"/>
      <c r="W31" s="29"/>
      <c r="X31" s="29"/>
      <c r="Y31" s="29"/>
      <c r="Z31" s="29"/>
      <c r="AA31" s="29"/>
    </row>
    <row r="32" spans="1:27" ht="17.5" thickTop="1" x14ac:dyDescent="0.45">
      <c r="A32" s="47"/>
      <c r="B32" s="67" t="s">
        <v>38</v>
      </c>
      <c r="C32" s="26" t="s">
        <v>6</v>
      </c>
      <c r="D32" s="7">
        <v>3931</v>
      </c>
      <c r="E32" s="7">
        <v>14819</v>
      </c>
      <c r="F32" s="7">
        <f t="shared" si="2"/>
        <v>18750</v>
      </c>
      <c r="G32" s="12">
        <f>F32/(F32+F33)</f>
        <v>0.4087906337889986</v>
      </c>
      <c r="H32" s="69">
        <f>G33-G32</f>
        <v>0.18241873242200279</v>
      </c>
      <c r="I32" s="7">
        <v>26043</v>
      </c>
      <c r="J32" s="21">
        <f>I32/(I32+I33)</f>
        <v>0.53132714475160669</v>
      </c>
      <c r="K32" s="69">
        <f>J33-J32</f>
        <v>-6.2654289503213334E-2</v>
      </c>
      <c r="L32" s="7">
        <v>44969</v>
      </c>
      <c r="M32" s="12">
        <f>L32/(L32+L33)</f>
        <v>0.47160550795465273</v>
      </c>
      <c r="N32" s="71">
        <f>M33-M32</f>
        <v>5.678898409069455E-2</v>
      </c>
      <c r="O32" s="1"/>
      <c r="P32" s="19"/>
      <c r="Q32" s="19"/>
      <c r="R32" s="19"/>
      <c r="S32" s="19"/>
      <c r="T32" s="19"/>
      <c r="U32" s="29"/>
      <c r="V32" s="29"/>
      <c r="W32" s="29"/>
      <c r="X32" s="29"/>
      <c r="Y32" s="29"/>
      <c r="Z32" s="29"/>
      <c r="AA32" s="29"/>
    </row>
    <row r="33" spans="1:27" ht="17.5" thickBot="1" x14ac:dyDescent="0.5">
      <c r="A33" s="47"/>
      <c r="B33" s="68"/>
      <c r="C33" s="27" t="s">
        <v>7</v>
      </c>
      <c r="D33" s="9">
        <v>6380</v>
      </c>
      <c r="E33" s="9">
        <v>20737</v>
      </c>
      <c r="F33" s="9">
        <f t="shared" ref="F33:F42" si="3">SUM(D33:E33)</f>
        <v>27117</v>
      </c>
      <c r="G33" s="14">
        <f>F33/(F33+F32)</f>
        <v>0.5912093662110014</v>
      </c>
      <c r="H33" s="70"/>
      <c r="I33" s="9">
        <v>22972</v>
      </c>
      <c r="J33" s="23">
        <f>I33/(I33+I32)</f>
        <v>0.46867285524839336</v>
      </c>
      <c r="K33" s="70"/>
      <c r="L33" s="9">
        <v>50384</v>
      </c>
      <c r="M33" s="14">
        <f>L33/(L33+L32)</f>
        <v>0.52839449204534727</v>
      </c>
      <c r="N33" s="72"/>
      <c r="O33" s="1"/>
      <c r="P33" s="19"/>
      <c r="Q33" s="19"/>
      <c r="R33" s="19"/>
      <c r="S33" s="19"/>
      <c r="T33" s="19"/>
      <c r="U33" s="29"/>
      <c r="V33" s="29"/>
      <c r="W33" s="29"/>
      <c r="X33" s="29"/>
      <c r="Y33" s="29"/>
      <c r="Z33" s="29"/>
      <c r="AA33" s="29"/>
    </row>
    <row r="34" spans="1:27" ht="17.5" thickTop="1" x14ac:dyDescent="0.45">
      <c r="A34" s="47"/>
      <c r="B34" s="67" t="s">
        <v>39</v>
      </c>
      <c r="C34" s="26" t="s">
        <v>6</v>
      </c>
      <c r="D34" s="7">
        <v>6706</v>
      </c>
      <c r="E34" s="7">
        <v>16934</v>
      </c>
      <c r="F34" s="7">
        <f t="shared" si="3"/>
        <v>23640</v>
      </c>
      <c r="G34" s="12">
        <f>F34/(F34+F35)</f>
        <v>0.34457125366216274</v>
      </c>
      <c r="H34" s="69">
        <f>G35-G34</f>
        <v>0.31085749267567447</v>
      </c>
      <c r="I34" s="7">
        <v>40059</v>
      </c>
      <c r="J34" s="21">
        <f>I34/(I34+I35)</f>
        <v>0.46313659749118447</v>
      </c>
      <c r="K34" s="69">
        <f>J35-J34</f>
        <v>7.3726805017631125E-2</v>
      </c>
      <c r="L34" s="7">
        <v>63924</v>
      </c>
      <c r="M34" s="12">
        <f>L34/(L34+L35)</f>
        <v>0.41000577256109294</v>
      </c>
      <c r="N34" s="71">
        <f>M35-M34</f>
        <v>0.17998845487781412</v>
      </c>
      <c r="O34" s="1"/>
      <c r="P34" s="19"/>
      <c r="Q34" s="19"/>
      <c r="R34" s="19"/>
      <c r="S34" s="19"/>
      <c r="T34" s="19"/>
      <c r="U34" s="29"/>
      <c r="V34" s="29"/>
      <c r="W34" s="29"/>
      <c r="X34" s="29"/>
      <c r="Y34" s="29"/>
      <c r="Z34" s="29"/>
      <c r="AA34" s="29"/>
    </row>
    <row r="35" spans="1:27" ht="17.5" thickBot="1" x14ac:dyDescent="0.5">
      <c r="A35" s="47"/>
      <c r="B35" s="68"/>
      <c r="C35" s="27" t="s">
        <v>7</v>
      </c>
      <c r="D35" s="9">
        <v>13268</v>
      </c>
      <c r="E35" s="9">
        <v>31699</v>
      </c>
      <c r="F35" s="9">
        <f t="shared" si="3"/>
        <v>44967</v>
      </c>
      <c r="G35" s="14">
        <f>F35/(F35+F34)</f>
        <v>0.65542874633783721</v>
      </c>
      <c r="H35" s="70"/>
      <c r="I35" s="9">
        <v>46436</v>
      </c>
      <c r="J35" s="23">
        <f>I35/(I35+I34)</f>
        <v>0.53686340250881559</v>
      </c>
      <c r="K35" s="70"/>
      <c r="L35" s="9">
        <v>91986</v>
      </c>
      <c r="M35" s="14">
        <f>L35/(L35+L34)</f>
        <v>0.58999422743890706</v>
      </c>
      <c r="N35" s="72"/>
      <c r="O35" s="1"/>
      <c r="P35" s="19"/>
      <c r="Q35" s="19"/>
      <c r="R35" s="19"/>
      <c r="S35" s="19"/>
      <c r="T35" s="19"/>
      <c r="U35" s="29"/>
      <c r="V35" s="29"/>
      <c r="W35" s="29"/>
      <c r="X35" s="29"/>
      <c r="Y35" s="29"/>
      <c r="Z35" s="29"/>
      <c r="AA35" s="29"/>
    </row>
    <row r="36" spans="1:27" ht="17.5" thickTop="1" x14ac:dyDescent="0.45">
      <c r="A36" s="47"/>
      <c r="B36" s="67" t="s">
        <v>40</v>
      </c>
      <c r="C36" s="26" t="s">
        <v>6</v>
      </c>
      <c r="D36" s="7">
        <v>5266</v>
      </c>
      <c r="E36" s="7">
        <v>16569</v>
      </c>
      <c r="F36" s="7">
        <f t="shared" si="3"/>
        <v>21835</v>
      </c>
      <c r="G36" s="12">
        <v>0.32719999999999999</v>
      </c>
      <c r="H36" s="69">
        <f>G37-G36</f>
        <v>0.32580000000000003</v>
      </c>
      <c r="I36" s="7">
        <v>35468</v>
      </c>
      <c r="J36" s="21">
        <v>0.44929999999999998</v>
      </c>
      <c r="K36" s="69">
        <f>J37-J36</f>
        <v>7.729999999999998E-2</v>
      </c>
      <c r="L36" s="7">
        <v>57515</v>
      </c>
      <c r="M36" s="12">
        <v>0.3926</v>
      </c>
      <c r="N36" s="71">
        <f>M37-M36</f>
        <v>0.19249999999999995</v>
      </c>
      <c r="O36" s="1"/>
      <c r="P36" s="19"/>
      <c r="Q36" s="19"/>
      <c r="R36" s="19"/>
      <c r="S36" s="19"/>
      <c r="T36" s="19"/>
      <c r="U36" s="29"/>
      <c r="V36" s="29"/>
      <c r="W36" s="29"/>
      <c r="X36" s="29"/>
      <c r="Y36" s="29"/>
      <c r="Z36" s="29"/>
      <c r="AA36" s="29"/>
    </row>
    <row r="37" spans="1:27" ht="17.5" thickBot="1" x14ac:dyDescent="0.5">
      <c r="A37" s="47"/>
      <c r="B37" s="68"/>
      <c r="C37" s="27" t="s">
        <v>7</v>
      </c>
      <c r="D37" s="9">
        <v>10644</v>
      </c>
      <c r="E37" s="9">
        <v>32931</v>
      </c>
      <c r="F37" s="9">
        <f t="shared" si="3"/>
        <v>43575</v>
      </c>
      <c r="G37" s="14">
        <v>0.65300000000000002</v>
      </c>
      <c r="H37" s="70"/>
      <c r="I37" s="9">
        <v>41567</v>
      </c>
      <c r="J37" s="23">
        <v>0.52659999999999996</v>
      </c>
      <c r="K37" s="70"/>
      <c r="L37" s="9">
        <v>85721</v>
      </c>
      <c r="M37" s="14">
        <v>0.58509999999999995</v>
      </c>
      <c r="N37" s="72"/>
      <c r="O37" s="1"/>
      <c r="P37" s="19"/>
      <c r="Q37" s="19"/>
      <c r="R37" s="19"/>
      <c r="S37" s="19"/>
      <c r="T37" s="19"/>
      <c r="U37" s="29"/>
      <c r="V37" s="29"/>
      <c r="W37" s="29"/>
      <c r="X37" s="29"/>
      <c r="Y37" s="29"/>
      <c r="Z37" s="29"/>
      <c r="AA37" s="29"/>
    </row>
    <row r="38" spans="1:27" ht="17.5" thickTop="1" x14ac:dyDescent="0.45">
      <c r="A38" s="47"/>
      <c r="B38" s="67" t="s">
        <v>41</v>
      </c>
      <c r="C38" s="26" t="s">
        <v>6</v>
      </c>
      <c r="D38" s="7">
        <v>5908</v>
      </c>
      <c r="E38" s="7">
        <v>19134</v>
      </c>
      <c r="F38" s="7">
        <f t="shared" si="3"/>
        <v>25042</v>
      </c>
      <c r="G38" s="12">
        <f>F38/(F38+F39)</f>
        <v>0.33468765871000505</v>
      </c>
      <c r="H38" s="69">
        <f>G39-G38</f>
        <v>0.33062468257998989</v>
      </c>
      <c r="I38" s="7">
        <v>32386</v>
      </c>
      <c r="J38" s="21">
        <f>I38/(I38+I39)</f>
        <v>0.45085128005234365</v>
      </c>
      <c r="K38" s="69">
        <f>J39-J38</f>
        <v>9.8297439895312699E-2</v>
      </c>
      <c r="L38" s="7">
        <v>57661</v>
      </c>
      <c r="M38" s="12">
        <f>L38/(L38+L39)</f>
        <v>0.39214499455930357</v>
      </c>
      <c r="N38" s="71">
        <f>M39-M38</f>
        <v>0.2157100108813928</v>
      </c>
      <c r="O38" s="1"/>
      <c r="P38" s="19"/>
      <c r="Q38" s="19"/>
      <c r="R38" s="19"/>
      <c r="S38" s="19"/>
      <c r="T38" s="19"/>
      <c r="U38" s="29"/>
      <c r="V38" s="29"/>
      <c r="W38" s="29"/>
      <c r="X38" s="29"/>
      <c r="Y38" s="29"/>
      <c r="Z38" s="29"/>
      <c r="AA38" s="29"/>
    </row>
    <row r="39" spans="1:27" ht="17.5" thickBot="1" x14ac:dyDescent="0.5">
      <c r="A39" s="47"/>
      <c r="B39" s="68"/>
      <c r="C39" s="27" t="s">
        <v>7</v>
      </c>
      <c r="D39" s="9">
        <v>13014</v>
      </c>
      <c r="E39" s="9">
        <v>36766</v>
      </c>
      <c r="F39" s="9">
        <f t="shared" si="3"/>
        <v>49780</v>
      </c>
      <c r="G39" s="14">
        <f>F39/(F39+F38)</f>
        <v>0.66531234128999495</v>
      </c>
      <c r="H39" s="70"/>
      <c r="I39" s="9">
        <v>39447</v>
      </c>
      <c r="J39" s="23">
        <f>I39/(I39+I38)</f>
        <v>0.54914871994765635</v>
      </c>
      <c r="K39" s="70"/>
      <c r="L39" s="9">
        <v>89379</v>
      </c>
      <c r="M39" s="14">
        <f>L39/(L39+L38)</f>
        <v>0.60785500544069637</v>
      </c>
      <c r="N39" s="72"/>
      <c r="O39" s="1"/>
      <c r="P39" s="19"/>
      <c r="Q39" s="19"/>
      <c r="R39" s="19"/>
      <c r="S39" s="19"/>
      <c r="T39" s="19"/>
      <c r="U39" s="29"/>
      <c r="V39" s="29"/>
      <c r="W39" s="29"/>
      <c r="X39" s="29"/>
      <c r="Y39" s="29"/>
      <c r="Z39" s="29"/>
      <c r="AA39" s="29"/>
    </row>
    <row r="40" spans="1:27" ht="17.5" thickTop="1" x14ac:dyDescent="0.45">
      <c r="A40" s="47"/>
      <c r="B40" s="67" t="s">
        <v>42</v>
      </c>
      <c r="C40" s="26" t="s">
        <v>6</v>
      </c>
      <c r="D40" s="7">
        <v>5099</v>
      </c>
      <c r="E40" s="7">
        <v>15590</v>
      </c>
      <c r="F40" s="7">
        <f t="shared" si="3"/>
        <v>20689</v>
      </c>
      <c r="G40" s="12">
        <v>0.33279999999999998</v>
      </c>
      <c r="H40" s="69">
        <f>G41-G40</f>
        <v>0.30230000000000001</v>
      </c>
      <c r="I40" s="7">
        <v>30589</v>
      </c>
      <c r="J40" s="21">
        <v>0.45650000000000002</v>
      </c>
      <c r="K40" s="69">
        <f>J41-J40</f>
        <v>5.0799999999999956E-2</v>
      </c>
      <c r="L40" s="7">
        <v>51612</v>
      </c>
      <c r="M40" s="12">
        <v>0.39610000000000001</v>
      </c>
      <c r="N40" s="71">
        <f>M41-M40</f>
        <v>0.1734</v>
      </c>
      <c r="O40" s="1"/>
      <c r="P40" s="19"/>
      <c r="Q40" s="19"/>
      <c r="R40" s="19"/>
      <c r="S40" s="19"/>
      <c r="T40" s="19"/>
      <c r="U40" s="29"/>
      <c r="V40" s="29"/>
      <c r="W40" s="29"/>
      <c r="X40" s="29"/>
      <c r="Y40" s="29"/>
      <c r="Z40" s="29"/>
      <c r="AA40" s="29"/>
    </row>
    <row r="41" spans="1:27" ht="17.5" thickBot="1" x14ac:dyDescent="0.5">
      <c r="A41" s="47"/>
      <c r="B41" s="68"/>
      <c r="C41" s="27" t="s">
        <v>7</v>
      </c>
      <c r="D41" s="9">
        <v>10839</v>
      </c>
      <c r="E41" s="9">
        <v>28644</v>
      </c>
      <c r="F41" s="9">
        <f t="shared" si="3"/>
        <v>39483</v>
      </c>
      <c r="G41" s="14">
        <v>0.6351</v>
      </c>
      <c r="H41" s="70"/>
      <c r="I41" s="9">
        <v>33992</v>
      </c>
      <c r="J41" s="23">
        <v>0.50729999999999997</v>
      </c>
      <c r="K41" s="70"/>
      <c r="L41" s="9">
        <v>74211</v>
      </c>
      <c r="M41" s="14">
        <v>0.56950000000000001</v>
      </c>
      <c r="N41" s="72"/>
      <c r="O41" s="1"/>
      <c r="P41" s="19"/>
      <c r="Q41" s="19"/>
      <c r="R41" s="19"/>
      <c r="S41" s="19"/>
      <c r="T41" s="19"/>
      <c r="U41" s="29"/>
      <c r="V41" s="29"/>
      <c r="W41" s="29"/>
      <c r="X41" s="29"/>
      <c r="Y41" s="29"/>
      <c r="Z41" s="29"/>
      <c r="AA41" s="29"/>
    </row>
    <row r="42" spans="1:27" ht="18" customHeight="1" thickTop="1" x14ac:dyDescent="0.45">
      <c r="A42" s="47"/>
      <c r="B42" s="67" t="s">
        <v>43</v>
      </c>
      <c r="C42" s="30" t="s">
        <v>6</v>
      </c>
      <c r="D42" s="31">
        <v>5069</v>
      </c>
      <c r="E42" s="31">
        <v>10529</v>
      </c>
      <c r="F42" s="31">
        <f t="shared" si="3"/>
        <v>15598</v>
      </c>
      <c r="G42" s="32">
        <v>0.37340000000000001</v>
      </c>
      <c r="H42" s="73">
        <f>G43-G42</f>
        <v>0.2021</v>
      </c>
      <c r="I42" s="31">
        <v>22659</v>
      </c>
      <c r="J42" s="32">
        <v>0.49259999999999998</v>
      </c>
      <c r="K42" s="73">
        <f>J43-J42</f>
        <v>-4.8699999999999966E-2</v>
      </c>
      <c r="L42" s="31">
        <v>38466</v>
      </c>
      <c r="M42" s="32">
        <v>0.43490000000000001</v>
      </c>
      <c r="N42" s="73">
        <f>M43-M42</f>
        <v>7.2700000000000042E-2</v>
      </c>
      <c r="O42" s="1"/>
      <c r="P42" s="19"/>
      <c r="Q42" s="19"/>
      <c r="R42" s="19"/>
      <c r="S42" s="19"/>
      <c r="T42" s="19"/>
      <c r="U42" s="29"/>
      <c r="V42" s="29"/>
      <c r="W42" s="29"/>
      <c r="X42" s="29"/>
      <c r="Y42" s="29"/>
      <c r="Z42" s="29"/>
      <c r="AA42" s="29"/>
    </row>
    <row r="43" spans="1:27" ht="17.5" thickBot="1" x14ac:dyDescent="0.5">
      <c r="A43" s="47"/>
      <c r="B43" s="68"/>
      <c r="C43" s="36" t="s">
        <v>7</v>
      </c>
      <c r="D43" s="37">
        <v>8714</v>
      </c>
      <c r="E43" s="37">
        <v>15328</v>
      </c>
      <c r="F43" s="37">
        <f>SUM(D43:E43)</f>
        <v>24042</v>
      </c>
      <c r="G43" s="38">
        <v>0.57550000000000001</v>
      </c>
      <c r="H43" s="74"/>
      <c r="I43" s="37">
        <v>20419</v>
      </c>
      <c r="J43" s="38">
        <v>0.44390000000000002</v>
      </c>
      <c r="K43" s="74"/>
      <c r="L43" s="37">
        <v>44890</v>
      </c>
      <c r="M43" s="38">
        <v>0.50760000000000005</v>
      </c>
      <c r="N43" s="74"/>
      <c r="O43" s="1"/>
      <c r="P43" s="19"/>
      <c r="Q43" s="19"/>
      <c r="R43" s="19"/>
      <c r="S43" s="19"/>
      <c r="T43" s="19"/>
      <c r="U43" s="29"/>
      <c r="V43" s="29"/>
      <c r="W43" s="29"/>
      <c r="X43" s="29"/>
      <c r="Y43" s="29"/>
      <c r="Z43" s="29"/>
      <c r="AA43" s="29"/>
    </row>
    <row r="44" spans="1:27" ht="17.5" thickTop="1" x14ac:dyDescent="0.45">
      <c r="A44" s="47"/>
      <c r="B44" s="67" t="s">
        <v>44</v>
      </c>
      <c r="C44" s="26" t="s">
        <v>6</v>
      </c>
      <c r="D44" s="7">
        <v>4297</v>
      </c>
      <c r="E44" s="7">
        <v>13295</v>
      </c>
      <c r="F44" s="7">
        <f>SUM(D44:E44)</f>
        <v>17592</v>
      </c>
      <c r="G44" s="12">
        <f>F44/(F44+F45)</f>
        <v>0.36414820948043886</v>
      </c>
      <c r="H44" s="69">
        <f>G45-G44</f>
        <v>0.27170358103912234</v>
      </c>
      <c r="I44" s="7">
        <v>24270</v>
      </c>
      <c r="J44" s="21">
        <f>I44/(I44+I45)</f>
        <v>0.48256253231001711</v>
      </c>
      <c r="K44" s="69">
        <f>J45-J44</f>
        <v>3.4874935379965777E-2</v>
      </c>
      <c r="L44" s="7">
        <v>42059</v>
      </c>
      <c r="M44" s="12">
        <f>L44/(L44+L45)</f>
        <v>0.42373837613468068</v>
      </c>
      <c r="N44" s="71">
        <f>M45-M44</f>
        <v>0.15252324773063863</v>
      </c>
      <c r="O44" s="1"/>
      <c r="P44" s="19"/>
      <c r="Q44" s="19"/>
      <c r="R44" s="19"/>
      <c r="S44" s="19"/>
      <c r="T44" s="19"/>
      <c r="U44" s="29"/>
      <c r="V44" s="29"/>
      <c r="W44" s="29"/>
      <c r="X44" s="29"/>
      <c r="Y44" s="29"/>
      <c r="Z44" s="29"/>
      <c r="AA44" s="29"/>
    </row>
    <row r="45" spans="1:27" ht="17.5" thickBot="1" x14ac:dyDescent="0.5">
      <c r="A45" s="47"/>
      <c r="B45" s="68"/>
      <c r="C45" s="27" t="s">
        <v>7</v>
      </c>
      <c r="D45" s="9">
        <v>8163</v>
      </c>
      <c r="E45" s="9">
        <v>22555</v>
      </c>
      <c r="F45" s="9">
        <f>E45+D45</f>
        <v>30718</v>
      </c>
      <c r="G45" s="14">
        <f>F45/(F45+F44)</f>
        <v>0.6358517905195612</v>
      </c>
      <c r="H45" s="70"/>
      <c r="I45" s="9">
        <v>26024</v>
      </c>
      <c r="J45" s="23">
        <f>I45/(I45+I44)</f>
        <v>0.51743746768998289</v>
      </c>
      <c r="K45" s="70"/>
      <c r="L45" s="9">
        <v>57198</v>
      </c>
      <c r="M45" s="14">
        <f>L45/(L45+L44)</f>
        <v>0.57626162386531932</v>
      </c>
      <c r="N45" s="72"/>
      <c r="O45" s="1"/>
      <c r="P45" s="19"/>
      <c r="Q45" s="19"/>
      <c r="R45" s="19"/>
      <c r="S45" s="19"/>
      <c r="T45" s="19"/>
      <c r="U45" s="29"/>
      <c r="V45" s="29"/>
      <c r="W45" s="29"/>
      <c r="X45" s="29"/>
      <c r="Y45" s="29"/>
      <c r="Z45" s="29"/>
      <c r="AA45" s="29"/>
    </row>
    <row r="46" spans="1:27" ht="17.5" thickTop="1" x14ac:dyDescent="0.45">
      <c r="A46" s="47"/>
      <c r="B46" s="58" t="s">
        <v>4</v>
      </c>
      <c r="C46" s="10" t="s">
        <v>6</v>
      </c>
      <c r="D46" s="11">
        <v>5477</v>
      </c>
      <c r="E46" s="11">
        <v>14056</v>
      </c>
      <c r="F46" s="11">
        <f t="shared" ref="F46:F55" si="4">SUM(D46:E46)</f>
        <v>19533</v>
      </c>
      <c r="G46" s="15">
        <v>0.41539999999999999</v>
      </c>
      <c r="H46" s="80">
        <f>G47-G46</f>
        <v>0.13290000000000002</v>
      </c>
      <c r="I46" s="11">
        <v>28519</v>
      </c>
      <c r="J46" s="24">
        <v>0.54549999999999998</v>
      </c>
      <c r="K46" s="80">
        <f>J47-J46</f>
        <v>-0.13419999999999999</v>
      </c>
      <c r="L46" s="11">
        <v>48342</v>
      </c>
      <c r="M46" s="15">
        <v>0.48299999999999998</v>
      </c>
      <c r="N46" s="81">
        <f>M47-M46</f>
        <v>-5.8999999999999608E-3</v>
      </c>
      <c r="O46" s="1"/>
      <c r="P46" s="19"/>
      <c r="Q46" s="19"/>
      <c r="R46" s="19"/>
      <c r="S46" s="19"/>
      <c r="T46" s="19"/>
      <c r="U46" s="29"/>
      <c r="V46" s="29"/>
      <c r="W46" s="29"/>
      <c r="X46" s="29"/>
      <c r="Y46" s="29"/>
      <c r="Z46" s="29"/>
      <c r="AA46" s="29"/>
    </row>
    <row r="47" spans="1:27" ht="17.5" thickBot="1" x14ac:dyDescent="0.5">
      <c r="A47" s="47"/>
      <c r="B47" s="79"/>
      <c r="C47" s="3" t="s">
        <v>7</v>
      </c>
      <c r="D47" s="4">
        <v>7683</v>
      </c>
      <c r="E47" s="4">
        <v>18099</v>
      </c>
      <c r="F47" s="4">
        <f t="shared" si="4"/>
        <v>25782</v>
      </c>
      <c r="G47" s="13">
        <v>0.54830000000000001</v>
      </c>
      <c r="H47" s="53"/>
      <c r="I47" s="4">
        <v>21507</v>
      </c>
      <c r="J47" s="22">
        <v>0.4113</v>
      </c>
      <c r="K47" s="53"/>
      <c r="L47" s="4">
        <v>47743</v>
      </c>
      <c r="M47" s="13">
        <v>0.47710000000000002</v>
      </c>
      <c r="N47" s="55"/>
      <c r="O47" s="1"/>
      <c r="P47" s="19"/>
      <c r="Q47" s="19"/>
      <c r="R47" s="19"/>
      <c r="S47" s="19"/>
      <c r="T47" s="19"/>
      <c r="U47" s="29"/>
      <c r="V47" s="29"/>
      <c r="W47" s="29"/>
      <c r="X47" s="29"/>
      <c r="Y47" s="29"/>
      <c r="Z47" s="29"/>
      <c r="AA47" s="29"/>
    </row>
    <row r="48" spans="1:27" ht="17.5" thickTop="1" x14ac:dyDescent="0.45">
      <c r="A48" s="47"/>
      <c r="B48" s="67" t="s">
        <v>45</v>
      </c>
      <c r="C48" s="26" t="s">
        <v>6</v>
      </c>
      <c r="D48" s="7">
        <v>4913</v>
      </c>
      <c r="E48" s="7">
        <v>13782</v>
      </c>
      <c r="F48" s="7">
        <f t="shared" si="4"/>
        <v>18695</v>
      </c>
      <c r="G48" s="12">
        <v>0.32190000000000002</v>
      </c>
      <c r="H48" s="69">
        <f>G49-G48</f>
        <v>0.27129999999999993</v>
      </c>
      <c r="I48" s="7">
        <v>28922</v>
      </c>
      <c r="J48" s="21">
        <v>0.44869999999999999</v>
      </c>
      <c r="K48" s="69">
        <f>J49-J48</f>
        <v>1.1900000000000022E-2</v>
      </c>
      <c r="L48" s="7">
        <v>47848</v>
      </c>
      <c r="M48" s="12">
        <v>0.38769999999999999</v>
      </c>
      <c r="N48" s="71">
        <f>M49-M48</f>
        <v>0.13669999999999999</v>
      </c>
      <c r="O48" s="1"/>
      <c r="P48" s="19"/>
      <c r="Q48" s="19"/>
      <c r="R48" s="19"/>
      <c r="S48" s="19"/>
      <c r="T48" s="19"/>
      <c r="U48" s="29"/>
      <c r="V48" s="29"/>
      <c r="W48" s="29"/>
      <c r="X48" s="29"/>
      <c r="Y48" s="29"/>
      <c r="Z48" s="29"/>
      <c r="AA48" s="29"/>
    </row>
    <row r="49" spans="1:27" ht="17.5" thickBot="1" x14ac:dyDescent="0.5">
      <c r="A49" s="47"/>
      <c r="B49" s="68"/>
      <c r="C49" s="27" t="s">
        <v>7</v>
      </c>
      <c r="D49" s="9">
        <v>9091</v>
      </c>
      <c r="E49" s="9">
        <v>25367</v>
      </c>
      <c r="F49" s="9">
        <f t="shared" si="4"/>
        <v>34458</v>
      </c>
      <c r="G49" s="14">
        <v>0.59319999999999995</v>
      </c>
      <c r="H49" s="70"/>
      <c r="I49" s="9">
        <v>29686</v>
      </c>
      <c r="J49" s="23">
        <v>0.46060000000000001</v>
      </c>
      <c r="K49" s="70"/>
      <c r="L49" s="9">
        <v>64715</v>
      </c>
      <c r="M49" s="14">
        <v>0.52439999999999998</v>
      </c>
      <c r="N49" s="72"/>
      <c r="O49" s="1"/>
      <c r="P49" s="19"/>
      <c r="Q49" s="19"/>
      <c r="R49" s="19"/>
      <c r="S49" s="19"/>
      <c r="T49" s="19"/>
      <c r="U49" s="29"/>
      <c r="V49" s="29"/>
      <c r="W49" s="29"/>
      <c r="X49" s="29"/>
      <c r="Y49" s="29"/>
      <c r="Z49" s="29"/>
      <c r="AA49" s="29"/>
    </row>
    <row r="50" spans="1:27" ht="17.5" thickTop="1" x14ac:dyDescent="0.45">
      <c r="A50" s="47"/>
      <c r="B50" s="67" t="s">
        <v>46</v>
      </c>
      <c r="C50" s="26" t="s">
        <v>6</v>
      </c>
      <c r="D50" s="7">
        <v>6087</v>
      </c>
      <c r="E50" s="7">
        <v>20080</v>
      </c>
      <c r="F50" s="7">
        <f t="shared" si="4"/>
        <v>26167</v>
      </c>
      <c r="G50" s="12">
        <v>0.40360000000000001</v>
      </c>
      <c r="H50" s="69">
        <f>G51-G50</f>
        <v>0.17419999999999997</v>
      </c>
      <c r="I50" s="7">
        <v>42492</v>
      </c>
      <c r="J50" s="21">
        <v>0.54879999999999995</v>
      </c>
      <c r="K50" s="69">
        <f>J51-J50</f>
        <v>-0.11979999999999996</v>
      </c>
      <c r="L50" s="7">
        <v>68959</v>
      </c>
      <c r="M50" s="12">
        <v>0.48159999999999997</v>
      </c>
      <c r="N50" s="71">
        <f>M51-M50</f>
        <v>1.6300000000000037E-2</v>
      </c>
      <c r="O50" s="1"/>
      <c r="P50" s="19"/>
      <c r="Q50" s="19"/>
      <c r="R50" s="19"/>
      <c r="S50" s="19"/>
      <c r="T50" s="19"/>
      <c r="U50" s="29"/>
      <c r="V50" s="29"/>
      <c r="W50" s="29"/>
      <c r="X50" s="29"/>
      <c r="Y50" s="29"/>
      <c r="Z50" s="29"/>
      <c r="AA50" s="29"/>
    </row>
    <row r="51" spans="1:27" ht="17.5" thickBot="1" x14ac:dyDescent="0.5">
      <c r="A51" s="47"/>
      <c r="B51" s="68"/>
      <c r="C51" s="27" t="s">
        <v>7</v>
      </c>
      <c r="D51" s="9">
        <v>9242</v>
      </c>
      <c r="E51" s="9">
        <v>28218</v>
      </c>
      <c r="F51" s="9">
        <f t="shared" si="4"/>
        <v>37460</v>
      </c>
      <c r="G51" s="14">
        <v>0.57779999999999998</v>
      </c>
      <c r="H51" s="70"/>
      <c r="I51" s="9">
        <v>33214</v>
      </c>
      <c r="J51" s="23">
        <v>0.42899999999999999</v>
      </c>
      <c r="K51" s="70"/>
      <c r="L51" s="9">
        <v>71285</v>
      </c>
      <c r="M51" s="14">
        <v>0.49790000000000001</v>
      </c>
      <c r="N51" s="72"/>
      <c r="O51" s="1"/>
      <c r="P51" s="19"/>
      <c r="Q51" s="19"/>
      <c r="R51" s="19"/>
      <c r="S51" s="19"/>
      <c r="T51" s="19"/>
      <c r="U51" s="29"/>
      <c r="V51" s="29"/>
      <c r="W51" s="29"/>
      <c r="X51" s="29"/>
      <c r="Y51" s="29"/>
      <c r="Z51" s="29"/>
      <c r="AA51" s="29"/>
    </row>
    <row r="52" spans="1:27" ht="17.5" thickTop="1" x14ac:dyDescent="0.45">
      <c r="A52" s="47"/>
      <c r="B52" s="67" t="s">
        <v>47</v>
      </c>
      <c r="C52" s="26" t="s">
        <v>6</v>
      </c>
      <c r="D52" s="7">
        <v>5299</v>
      </c>
      <c r="E52" s="7">
        <v>14621</v>
      </c>
      <c r="F52" s="7">
        <f t="shared" si="4"/>
        <v>19920</v>
      </c>
      <c r="G52" s="12">
        <f>F52/(F52+F53)</f>
        <v>0.36058214466729421</v>
      </c>
      <c r="H52" s="69">
        <f>G53-G52</f>
        <v>0.27883571066541157</v>
      </c>
      <c r="I52" s="7">
        <v>30190</v>
      </c>
      <c r="J52" s="21">
        <f>I52/(I52+I53)</f>
        <v>0.48362809175957966</v>
      </c>
      <c r="K52" s="69">
        <f>J53-J52</f>
        <v>3.2743816480840682E-2</v>
      </c>
      <c r="L52" s="7">
        <v>50293</v>
      </c>
      <c r="M52" s="12">
        <f>L52/(L52+L53)</f>
        <v>0.42529279945879667</v>
      </c>
      <c r="N52" s="71">
        <f>M53-M52</f>
        <v>0.14941440108240661</v>
      </c>
      <c r="O52" s="1"/>
      <c r="P52" s="19"/>
      <c r="Q52" s="19"/>
      <c r="R52" s="19"/>
      <c r="S52" s="19"/>
      <c r="T52" s="19"/>
      <c r="U52" s="29"/>
      <c r="V52" s="29"/>
      <c r="W52" s="29"/>
      <c r="X52" s="29"/>
      <c r="Y52" s="29"/>
      <c r="Z52" s="29"/>
      <c r="AA52" s="29"/>
    </row>
    <row r="53" spans="1:27" ht="17.5" thickBot="1" x14ac:dyDescent="0.5">
      <c r="A53" s="47"/>
      <c r="B53" s="68"/>
      <c r="C53" s="27" t="s">
        <v>7</v>
      </c>
      <c r="D53" s="9">
        <v>10048</v>
      </c>
      <c r="E53" s="9">
        <v>25276</v>
      </c>
      <c r="F53" s="9">
        <f t="shared" si="4"/>
        <v>35324</v>
      </c>
      <c r="G53" s="14">
        <f>F53/(F53+F52)</f>
        <v>0.63941785533270579</v>
      </c>
      <c r="H53" s="70"/>
      <c r="I53" s="9">
        <v>32234</v>
      </c>
      <c r="J53" s="23">
        <f>I53/(I53+I52)</f>
        <v>0.51637190824042034</v>
      </c>
      <c r="K53" s="70"/>
      <c r="L53" s="9">
        <v>67962</v>
      </c>
      <c r="M53" s="14">
        <f>L53/(L53+L52)</f>
        <v>0.57470720054120328</v>
      </c>
      <c r="N53" s="72"/>
      <c r="O53" s="1"/>
      <c r="P53" s="19"/>
      <c r="Q53" s="19"/>
      <c r="R53" s="19"/>
      <c r="S53" s="19"/>
      <c r="T53" s="19"/>
      <c r="U53" s="29"/>
      <c r="V53" s="29"/>
      <c r="W53" s="29"/>
      <c r="X53" s="29"/>
      <c r="Y53" s="29"/>
      <c r="Z53" s="29"/>
      <c r="AA53" s="29"/>
    </row>
    <row r="54" spans="1:27" ht="17.5" thickTop="1" x14ac:dyDescent="0.45">
      <c r="A54" s="47"/>
      <c r="B54" s="67" t="s">
        <v>48</v>
      </c>
      <c r="C54" s="26" t="s">
        <v>6</v>
      </c>
      <c r="D54" s="7">
        <v>4339</v>
      </c>
      <c r="E54" s="7">
        <v>13184</v>
      </c>
      <c r="F54" s="7">
        <f t="shared" si="4"/>
        <v>17523</v>
      </c>
      <c r="G54" s="12">
        <v>0.32290000000000002</v>
      </c>
      <c r="H54" s="69">
        <f>G55-G54</f>
        <v>0.32839999999999997</v>
      </c>
      <c r="I54" s="7">
        <v>25017</v>
      </c>
      <c r="J54" s="21">
        <v>0.45029999999999998</v>
      </c>
      <c r="K54" s="69">
        <f>J55-J54</f>
        <v>6.9800000000000029E-2</v>
      </c>
      <c r="L54" s="7">
        <v>42703</v>
      </c>
      <c r="M54" s="12">
        <v>0.38679999999999998</v>
      </c>
      <c r="N54" s="71">
        <f>M55-M54</f>
        <v>0.19870000000000004</v>
      </c>
      <c r="O54" s="1"/>
      <c r="P54" s="19"/>
      <c r="Q54" s="19"/>
      <c r="R54" s="19"/>
      <c r="S54" s="19"/>
      <c r="T54" s="19"/>
      <c r="U54" s="29"/>
      <c r="V54" s="29"/>
      <c r="W54" s="29"/>
      <c r="X54" s="29"/>
      <c r="Y54" s="29"/>
      <c r="Z54" s="29"/>
      <c r="AA54" s="29"/>
    </row>
    <row r="55" spans="1:27" ht="17.5" thickBot="1" x14ac:dyDescent="0.5">
      <c r="A55" s="47"/>
      <c r="B55" s="68"/>
      <c r="C55" s="27" t="s">
        <v>7</v>
      </c>
      <c r="D55" s="9">
        <v>9000</v>
      </c>
      <c r="E55" s="9">
        <v>26340</v>
      </c>
      <c r="F55" s="9">
        <f t="shared" si="4"/>
        <v>35340</v>
      </c>
      <c r="G55" s="14">
        <v>0.65129999999999999</v>
      </c>
      <c r="H55" s="70"/>
      <c r="I55" s="9">
        <v>28891</v>
      </c>
      <c r="J55" s="23">
        <v>0.52010000000000001</v>
      </c>
      <c r="K55" s="70"/>
      <c r="L55" s="9">
        <v>64651</v>
      </c>
      <c r="M55" s="14">
        <v>0.58550000000000002</v>
      </c>
      <c r="N55" s="72"/>
      <c r="O55" s="1"/>
      <c r="P55" s="19"/>
      <c r="Q55" s="19"/>
      <c r="R55" s="19"/>
      <c r="S55" s="19"/>
      <c r="T55" s="19"/>
      <c r="U55" s="29"/>
      <c r="V55" s="29"/>
      <c r="W55" s="29"/>
      <c r="X55" s="29"/>
      <c r="Y55" s="29"/>
      <c r="Z55" s="29"/>
      <c r="AA55" s="29"/>
    </row>
    <row r="56" spans="1:27" ht="17.5" thickTop="1" x14ac:dyDescent="0.45">
      <c r="A56" s="47"/>
      <c r="B56" s="67" t="s">
        <v>49</v>
      </c>
      <c r="C56" s="30" t="s">
        <v>6</v>
      </c>
      <c r="D56" s="31">
        <v>4806</v>
      </c>
      <c r="E56" s="31">
        <v>15382</v>
      </c>
      <c r="F56" s="31">
        <f t="shared" ref="F56:F67" si="5">SUM(D56:E56)</f>
        <v>20188</v>
      </c>
      <c r="G56" s="32">
        <f>F56/(F56+F57)</f>
        <v>0.37430240103828682</v>
      </c>
      <c r="H56" s="73">
        <f>G57-G56</f>
        <v>0.25139519792342635</v>
      </c>
      <c r="I56" s="31">
        <v>31929</v>
      </c>
      <c r="J56" s="32">
        <f>I56/(I56+I57)</f>
        <v>0.52077115036453492</v>
      </c>
      <c r="K56" s="73">
        <f>J57-J56</f>
        <v>-4.1542300729069837E-2</v>
      </c>
      <c r="L56" s="31">
        <v>52354</v>
      </c>
      <c r="M56" s="32">
        <f>L56/(L56+L57)</f>
        <v>0.45150273813117159</v>
      </c>
      <c r="N56" s="73">
        <f>M57-M56</f>
        <v>9.6994523737656824E-2</v>
      </c>
      <c r="O56" s="1"/>
      <c r="P56" s="19"/>
      <c r="Q56" s="19"/>
      <c r="R56" s="19"/>
      <c r="S56" s="19"/>
      <c r="T56" s="19"/>
      <c r="U56" s="29"/>
      <c r="V56" s="29"/>
      <c r="W56" s="29"/>
      <c r="X56" s="29"/>
      <c r="Y56" s="29"/>
      <c r="Z56" s="29"/>
      <c r="AA56" s="29"/>
    </row>
    <row r="57" spans="1:27" ht="17.5" thickBot="1" x14ac:dyDescent="0.5">
      <c r="A57" s="47"/>
      <c r="B57" s="68"/>
      <c r="C57" s="36" t="s">
        <v>7</v>
      </c>
      <c r="D57" s="37">
        <v>8189</v>
      </c>
      <c r="E57" s="37">
        <v>25558</v>
      </c>
      <c r="F57" s="37">
        <f t="shared" si="5"/>
        <v>33747</v>
      </c>
      <c r="G57" s="38">
        <f>F57/(F57+F56)</f>
        <v>0.62569759896171318</v>
      </c>
      <c r="H57" s="74"/>
      <c r="I57" s="37">
        <v>29382</v>
      </c>
      <c r="J57" s="38">
        <f>I57/(I57+I56)</f>
        <v>0.47922884963546508</v>
      </c>
      <c r="K57" s="74"/>
      <c r="L57" s="37">
        <v>63601</v>
      </c>
      <c r="M57" s="38">
        <f>L57/(L57+L56)</f>
        <v>0.54849726186882841</v>
      </c>
      <c r="N57" s="74"/>
      <c r="O57" s="1"/>
      <c r="P57" s="19"/>
      <c r="Q57" s="19"/>
      <c r="R57" s="19"/>
      <c r="S57" s="19"/>
      <c r="T57" s="19"/>
      <c r="U57" s="29"/>
      <c r="V57" s="29"/>
      <c r="W57" s="29"/>
      <c r="X57" s="29"/>
      <c r="Y57" s="29"/>
      <c r="Z57" s="29"/>
      <c r="AA57" s="29"/>
    </row>
    <row r="58" spans="1:27" ht="17.5" thickTop="1" x14ac:dyDescent="0.45">
      <c r="A58" s="47"/>
      <c r="B58" s="67" t="s">
        <v>62</v>
      </c>
      <c r="C58" s="26" t="s">
        <v>6</v>
      </c>
      <c r="D58" s="7">
        <v>4558</v>
      </c>
      <c r="E58" s="7">
        <v>13880</v>
      </c>
      <c r="F58" s="7">
        <f t="shared" si="5"/>
        <v>18438</v>
      </c>
      <c r="G58" s="12">
        <f>F58/(F58+F59)</f>
        <v>0.33908341915550977</v>
      </c>
      <c r="H58" s="69">
        <f>G59-G58</f>
        <v>0.32183316168898046</v>
      </c>
      <c r="I58" s="7">
        <v>24421</v>
      </c>
      <c r="J58" s="21">
        <f>I58/(I58+I59)</f>
        <v>0.48483224141353981</v>
      </c>
      <c r="K58" s="69">
        <f>J59-J58</f>
        <v>3.0335517172920434E-2</v>
      </c>
      <c r="L58" s="7">
        <v>43046</v>
      </c>
      <c r="M58" s="12">
        <f>L58/(L58+L59)</f>
        <v>0.4086270563777375</v>
      </c>
      <c r="N58" s="71">
        <f>M59-M58</f>
        <v>0.18274588724452506</v>
      </c>
      <c r="O58" s="1"/>
      <c r="P58" s="19"/>
      <c r="Q58" s="19"/>
      <c r="R58" s="19"/>
      <c r="S58" s="19"/>
      <c r="T58" s="19"/>
      <c r="U58" s="29"/>
      <c r="V58" s="29"/>
      <c r="W58" s="29"/>
      <c r="X58" s="29"/>
      <c r="Y58" s="29"/>
      <c r="Z58" s="29"/>
      <c r="AA58" s="29"/>
    </row>
    <row r="59" spans="1:27" ht="17.5" thickBot="1" x14ac:dyDescent="0.5">
      <c r="A59" s="47"/>
      <c r="B59" s="68"/>
      <c r="C59" s="27" t="s">
        <v>7</v>
      </c>
      <c r="D59" s="9">
        <v>9072</v>
      </c>
      <c r="E59" s="9">
        <v>26866</v>
      </c>
      <c r="F59" s="9">
        <f t="shared" si="5"/>
        <v>35938</v>
      </c>
      <c r="G59" s="14">
        <f>F59/(F59+F58)</f>
        <v>0.66091658084449023</v>
      </c>
      <c r="H59" s="70"/>
      <c r="I59" s="9">
        <v>25949</v>
      </c>
      <c r="J59" s="23">
        <f>I59/(I59+I58)</f>
        <v>0.51516775858646024</v>
      </c>
      <c r="K59" s="70"/>
      <c r="L59" s="9">
        <v>62297</v>
      </c>
      <c r="M59" s="14">
        <f>L59/(L59+L58)</f>
        <v>0.59137294362226256</v>
      </c>
      <c r="N59" s="72"/>
      <c r="O59" s="1"/>
      <c r="P59" s="19"/>
      <c r="Q59" s="19"/>
      <c r="R59" s="19"/>
      <c r="S59" s="19"/>
      <c r="T59" s="19"/>
      <c r="U59" s="29"/>
      <c r="V59" s="29"/>
      <c r="W59" s="29"/>
      <c r="X59" s="29"/>
      <c r="Y59" s="29"/>
      <c r="Z59" s="29"/>
      <c r="AA59" s="29"/>
    </row>
    <row r="60" spans="1:27" ht="17.5" thickTop="1" x14ac:dyDescent="0.45">
      <c r="A60" s="47"/>
      <c r="B60" s="67" t="s">
        <v>50</v>
      </c>
      <c r="C60" s="30" t="s">
        <v>6</v>
      </c>
      <c r="D60" s="31">
        <v>5379</v>
      </c>
      <c r="E60" s="31">
        <v>19036</v>
      </c>
      <c r="F60" s="31">
        <f t="shared" si="5"/>
        <v>24415</v>
      </c>
      <c r="G60" s="32">
        <f>F60/(F60+F61)</f>
        <v>0.37056430804723312</v>
      </c>
      <c r="H60" s="73">
        <f>G61-G60</f>
        <v>0.25887138390553383</v>
      </c>
      <c r="I60" s="31">
        <v>38996</v>
      </c>
      <c r="J60" s="32">
        <f>I60/(I60+I61)</f>
        <v>0.5050510283375641</v>
      </c>
      <c r="K60" s="73">
        <f>J61-J60</f>
        <v>-1.0102056675128201E-2</v>
      </c>
      <c r="L60" s="31">
        <v>63664</v>
      </c>
      <c r="M60" s="32">
        <f>L60/(L60+L61)</f>
        <v>0.44258443057158348</v>
      </c>
      <c r="N60" s="73">
        <f>M61-M60</f>
        <v>0.11483113885683305</v>
      </c>
      <c r="O60" s="1"/>
      <c r="P60" s="19"/>
      <c r="Q60" s="19"/>
      <c r="R60" s="19"/>
      <c r="S60" s="19"/>
      <c r="T60" s="19"/>
      <c r="U60" s="29"/>
      <c r="V60" s="29"/>
      <c r="W60" s="29"/>
      <c r="X60" s="29"/>
      <c r="Y60" s="29"/>
      <c r="Z60" s="29"/>
      <c r="AA60" s="29"/>
    </row>
    <row r="61" spans="1:27" ht="17.5" thickBot="1" x14ac:dyDescent="0.5">
      <c r="A61" s="47"/>
      <c r="B61" s="68"/>
      <c r="C61" s="36" t="s">
        <v>7</v>
      </c>
      <c r="D61" s="37">
        <v>10102</v>
      </c>
      <c r="E61" s="37">
        <v>31369</v>
      </c>
      <c r="F61" s="37">
        <f t="shared" si="5"/>
        <v>41471</v>
      </c>
      <c r="G61" s="38">
        <f>F61/(F61+F60)</f>
        <v>0.62943569195276694</v>
      </c>
      <c r="H61" s="74"/>
      <c r="I61" s="37">
        <v>38216</v>
      </c>
      <c r="J61" s="38">
        <f>I61/(I61+I60)</f>
        <v>0.4949489716624359</v>
      </c>
      <c r="K61" s="74"/>
      <c r="L61" s="37">
        <v>80182</v>
      </c>
      <c r="M61" s="38">
        <f>L61/(L61+L60)</f>
        <v>0.55741556942841652</v>
      </c>
      <c r="N61" s="74"/>
      <c r="O61" s="1"/>
      <c r="P61" s="19"/>
      <c r="Q61" s="19"/>
      <c r="R61" s="19"/>
      <c r="S61" s="19"/>
      <c r="T61" s="19"/>
      <c r="U61" s="29"/>
      <c r="V61" s="29"/>
      <c r="W61" s="29"/>
      <c r="X61" s="29"/>
      <c r="Y61" s="29"/>
      <c r="Z61" s="29"/>
      <c r="AA61" s="29"/>
    </row>
    <row r="62" spans="1:27" ht="17.5" thickTop="1" x14ac:dyDescent="0.45">
      <c r="A62" s="47"/>
      <c r="B62" s="67" t="s">
        <v>51</v>
      </c>
      <c r="C62" s="26" t="s">
        <v>6</v>
      </c>
      <c r="D62" s="7">
        <v>3774</v>
      </c>
      <c r="E62" s="7">
        <v>11542</v>
      </c>
      <c r="F62" s="7">
        <f t="shared" si="5"/>
        <v>15316</v>
      </c>
      <c r="G62" s="12">
        <f>F62/(F62+F63)</f>
        <v>0.33700794331859091</v>
      </c>
      <c r="H62" s="69">
        <f>G63-G62</f>
        <v>0.32598411336281824</v>
      </c>
      <c r="I62" s="7">
        <v>23271</v>
      </c>
      <c r="J62" s="21">
        <f>I62/(I62+I63)</f>
        <v>0.46063857162651678</v>
      </c>
      <c r="K62" s="69">
        <f>J63-J62</f>
        <v>7.8722856746966441E-2</v>
      </c>
      <c r="L62" s="7">
        <v>38741</v>
      </c>
      <c r="M62" s="12">
        <f>L62/(L62+L63)</f>
        <v>0.40134052978897533</v>
      </c>
      <c r="N62" s="71">
        <f>M63-M62</f>
        <v>0.19731894042204928</v>
      </c>
      <c r="O62" s="1"/>
      <c r="P62" s="19"/>
      <c r="Q62" s="19"/>
      <c r="R62" s="19"/>
      <c r="S62" s="19"/>
      <c r="T62" s="19"/>
      <c r="U62" s="29"/>
      <c r="V62" s="29"/>
      <c r="W62" s="29"/>
      <c r="X62" s="29"/>
      <c r="Y62" s="29"/>
      <c r="Z62" s="29"/>
      <c r="AA62" s="29"/>
    </row>
    <row r="63" spans="1:27" ht="17.5" thickBot="1" x14ac:dyDescent="0.5">
      <c r="A63" s="47"/>
      <c r="B63" s="68"/>
      <c r="C63" s="27" t="s">
        <v>7</v>
      </c>
      <c r="D63" s="9">
        <v>7899</v>
      </c>
      <c r="E63" s="9">
        <v>22232</v>
      </c>
      <c r="F63" s="9">
        <f t="shared" si="5"/>
        <v>30131</v>
      </c>
      <c r="G63" s="14">
        <f>F63/(F63+F62)</f>
        <v>0.66299205668140915</v>
      </c>
      <c r="H63" s="70"/>
      <c r="I63" s="9">
        <v>27248</v>
      </c>
      <c r="J63" s="23">
        <f>I63/(I63+I62)</f>
        <v>0.53936142837348322</v>
      </c>
      <c r="K63" s="70"/>
      <c r="L63" s="9">
        <v>57788</v>
      </c>
      <c r="M63" s="14">
        <f>L63/(L63+L62)</f>
        <v>0.59865947021102461</v>
      </c>
      <c r="N63" s="72"/>
      <c r="O63" s="1"/>
      <c r="P63" s="19"/>
      <c r="Q63" s="19"/>
      <c r="R63" s="19"/>
      <c r="S63" s="19"/>
      <c r="T63" s="19"/>
      <c r="U63" s="29"/>
      <c r="V63" s="29"/>
      <c r="W63" s="29"/>
      <c r="X63" s="29"/>
      <c r="Y63" s="29"/>
      <c r="Z63" s="29"/>
      <c r="AA63" s="29"/>
    </row>
    <row r="64" spans="1:27" ht="17.5" thickTop="1" x14ac:dyDescent="0.45">
      <c r="A64" s="47"/>
      <c r="B64" s="67" t="s">
        <v>52</v>
      </c>
      <c r="C64" s="26" t="s">
        <v>6</v>
      </c>
      <c r="D64" s="7">
        <v>4895</v>
      </c>
      <c r="E64" s="7">
        <v>17352</v>
      </c>
      <c r="F64" s="7">
        <f t="shared" si="5"/>
        <v>22247</v>
      </c>
      <c r="G64" s="12">
        <f>F64/(F64+F65)</f>
        <v>0.35169786265334513</v>
      </c>
      <c r="H64" s="69">
        <f>G65-G64</f>
        <v>0.29660427469330974</v>
      </c>
      <c r="I64" s="7">
        <v>32083</v>
      </c>
      <c r="J64" s="21">
        <f>I64/(+I65)</f>
        <v>0.86395583681163324</v>
      </c>
      <c r="K64" s="69">
        <f>J65-J64</f>
        <v>-0.32746243914050721</v>
      </c>
      <c r="L64" s="7">
        <v>54525</v>
      </c>
      <c r="M64" s="12">
        <f>L64/(L64+L65)</f>
        <v>0.4096174649918865</v>
      </c>
      <c r="N64" s="71">
        <f>M65-M64</f>
        <v>0.18076507001622694</v>
      </c>
      <c r="O64" s="1"/>
      <c r="P64" s="19"/>
      <c r="Q64" s="19"/>
      <c r="R64" s="19"/>
      <c r="S64" s="19"/>
      <c r="T64" s="19"/>
      <c r="U64" s="29"/>
      <c r="V64" s="29"/>
      <c r="W64" s="29"/>
      <c r="X64" s="29"/>
      <c r="Y64" s="29"/>
      <c r="Z64" s="29"/>
      <c r="AA64" s="29"/>
    </row>
    <row r="65" spans="1:27" ht="17.5" thickBot="1" x14ac:dyDescent="0.5">
      <c r="A65" s="47"/>
      <c r="B65" s="68"/>
      <c r="C65" s="27" t="s">
        <v>7</v>
      </c>
      <c r="D65" s="9">
        <v>10429</v>
      </c>
      <c r="E65" s="9">
        <v>30580</v>
      </c>
      <c r="F65" s="9">
        <f t="shared" si="5"/>
        <v>41009</v>
      </c>
      <c r="G65" s="14">
        <f>F65/(F65+F64)</f>
        <v>0.64830213734665487</v>
      </c>
      <c r="H65" s="70"/>
      <c r="I65" s="9">
        <v>37135</v>
      </c>
      <c r="J65" s="23">
        <f>I65/(I65+I64)</f>
        <v>0.53649339767112603</v>
      </c>
      <c r="K65" s="70"/>
      <c r="L65" s="9">
        <v>78587</v>
      </c>
      <c r="M65" s="14">
        <f>L65/(L65+L64)</f>
        <v>0.59038253500811344</v>
      </c>
      <c r="N65" s="72"/>
      <c r="O65" s="1"/>
      <c r="P65" s="19"/>
      <c r="Q65" s="19"/>
      <c r="R65" s="19"/>
      <c r="S65" s="19"/>
      <c r="T65" s="19"/>
      <c r="U65" s="29"/>
      <c r="V65" s="29"/>
      <c r="W65" s="29"/>
      <c r="X65" s="29"/>
      <c r="Y65" s="29"/>
      <c r="Z65" s="29"/>
      <c r="AA65" s="29"/>
    </row>
    <row r="66" spans="1:27" ht="17.5" thickTop="1" x14ac:dyDescent="0.45">
      <c r="A66" s="47"/>
      <c r="B66" s="67" t="s">
        <v>53</v>
      </c>
      <c r="C66" s="26" t="s">
        <v>6</v>
      </c>
      <c r="D66" s="7">
        <v>5885</v>
      </c>
      <c r="E66" s="7">
        <v>16103</v>
      </c>
      <c r="F66" s="7">
        <f t="shared" si="5"/>
        <v>21988</v>
      </c>
      <c r="G66" s="12">
        <v>0.35170000000000001</v>
      </c>
      <c r="H66" s="69">
        <f>G67-G66</f>
        <v>0.26090000000000002</v>
      </c>
      <c r="I66" s="7">
        <v>33696</v>
      </c>
      <c r="J66" s="21">
        <v>0.4753</v>
      </c>
      <c r="K66" s="69">
        <f>J67-J66</f>
        <v>9.5999999999999974E-3</v>
      </c>
      <c r="L66" s="7">
        <v>55919</v>
      </c>
      <c r="M66" s="12">
        <v>0.4168</v>
      </c>
      <c r="N66" s="71">
        <f>M67-M66</f>
        <v>0.1285</v>
      </c>
      <c r="O66" s="1"/>
      <c r="P66" s="19"/>
      <c r="Q66" s="19"/>
      <c r="R66" s="19"/>
      <c r="S66" s="19"/>
      <c r="T66" s="19"/>
      <c r="U66" s="29"/>
      <c r="V66" s="29"/>
      <c r="W66" s="29"/>
      <c r="X66" s="29"/>
      <c r="Y66" s="29"/>
      <c r="Z66" s="29"/>
      <c r="AA66" s="29"/>
    </row>
    <row r="67" spans="1:27" ht="17.5" thickBot="1" x14ac:dyDescent="0.5">
      <c r="A67" s="47"/>
      <c r="B67" s="68"/>
      <c r="C67" s="27" t="s">
        <v>7</v>
      </c>
      <c r="D67" s="9">
        <v>10673</v>
      </c>
      <c r="E67" s="9">
        <v>27621</v>
      </c>
      <c r="F67" s="9">
        <f t="shared" si="5"/>
        <v>38294</v>
      </c>
      <c r="G67" s="14">
        <v>0.61260000000000003</v>
      </c>
      <c r="H67" s="70"/>
      <c r="I67" s="9">
        <v>34373</v>
      </c>
      <c r="J67" s="23">
        <v>0.4849</v>
      </c>
      <c r="K67" s="70"/>
      <c r="L67" s="9">
        <v>73163</v>
      </c>
      <c r="M67" s="14">
        <v>0.54530000000000001</v>
      </c>
      <c r="N67" s="72"/>
      <c r="O67" s="1"/>
      <c r="P67" s="19"/>
      <c r="Q67" s="19"/>
      <c r="R67" s="19"/>
      <c r="S67" s="19"/>
      <c r="T67" s="19"/>
      <c r="U67" s="29"/>
      <c r="V67" s="29"/>
      <c r="W67" s="29"/>
      <c r="X67" s="29"/>
      <c r="Y67" s="29"/>
      <c r="Z67" s="29"/>
      <c r="AA67" s="29"/>
    </row>
    <row r="68" spans="1:27" ht="17.5" thickTop="1" x14ac:dyDescent="0.45">
      <c r="A68" s="47"/>
      <c r="B68" s="67" t="s">
        <v>54</v>
      </c>
      <c r="C68" s="26" t="s">
        <v>6</v>
      </c>
      <c r="D68" s="7">
        <v>4870</v>
      </c>
      <c r="E68" s="7">
        <v>14081</v>
      </c>
      <c r="F68" s="7">
        <f t="shared" ref="F68:F79" si="6">SUM(D68:E68)</f>
        <v>18951</v>
      </c>
      <c r="G68" s="12">
        <v>0.41499999999999998</v>
      </c>
      <c r="H68" s="69">
        <f>G69-G68</f>
        <v>0.16289999999999999</v>
      </c>
      <c r="I68" s="7">
        <v>29317</v>
      </c>
      <c r="J68" s="21">
        <v>0.55769999999999997</v>
      </c>
      <c r="K68" s="69">
        <f>J69-J68</f>
        <v>-0.12379999999999997</v>
      </c>
      <c r="L68" s="7">
        <v>48516</v>
      </c>
      <c r="M68" s="12">
        <v>0.49030000000000001</v>
      </c>
      <c r="N68" s="71">
        <f>M69-M68</f>
        <v>1.150000000000001E-2</v>
      </c>
      <c r="O68" s="1"/>
      <c r="P68" s="19"/>
      <c r="Q68" s="19"/>
      <c r="R68" s="19"/>
      <c r="S68" s="19"/>
      <c r="T68" s="19"/>
      <c r="U68" s="29"/>
      <c r="V68" s="29"/>
      <c r="W68" s="29"/>
      <c r="X68" s="29"/>
      <c r="Y68" s="29"/>
      <c r="Z68" s="29"/>
      <c r="AA68" s="29"/>
    </row>
    <row r="69" spans="1:27" ht="17.5" thickBot="1" x14ac:dyDescent="0.5">
      <c r="A69" s="47"/>
      <c r="B69" s="68"/>
      <c r="C69" s="27" t="s">
        <v>7</v>
      </c>
      <c r="D69" s="9">
        <v>7295</v>
      </c>
      <c r="E69" s="9">
        <v>19092</v>
      </c>
      <c r="F69" s="9">
        <f t="shared" si="6"/>
        <v>26387</v>
      </c>
      <c r="G69" s="14">
        <v>0.57789999999999997</v>
      </c>
      <c r="H69" s="70"/>
      <c r="I69" s="9">
        <v>22811</v>
      </c>
      <c r="J69" s="23">
        <v>0.43390000000000001</v>
      </c>
      <c r="K69" s="70"/>
      <c r="L69" s="9">
        <v>49651</v>
      </c>
      <c r="M69" s="14">
        <v>0.50180000000000002</v>
      </c>
      <c r="N69" s="72"/>
      <c r="O69" s="1"/>
      <c r="P69" s="19"/>
      <c r="Q69" s="19"/>
      <c r="R69" s="19"/>
      <c r="S69" s="19"/>
      <c r="T69" s="19"/>
      <c r="U69" s="29"/>
      <c r="V69" s="29"/>
      <c r="W69" s="29"/>
      <c r="X69" s="29"/>
      <c r="Y69" s="29"/>
      <c r="Z69" s="29"/>
      <c r="AA69" s="29"/>
    </row>
    <row r="70" spans="1:27" ht="17.5" thickTop="1" x14ac:dyDescent="0.45">
      <c r="A70" s="47"/>
      <c r="B70" s="67" t="s">
        <v>55</v>
      </c>
      <c r="C70" s="26" t="s">
        <v>6</v>
      </c>
      <c r="D70" s="7">
        <v>6061</v>
      </c>
      <c r="E70" s="7">
        <v>18181</v>
      </c>
      <c r="F70" s="7">
        <f t="shared" si="6"/>
        <v>24242</v>
      </c>
      <c r="G70" s="12">
        <v>0.3856</v>
      </c>
      <c r="H70" s="69">
        <f>G71-G70</f>
        <v>0.18650000000000005</v>
      </c>
      <c r="I70" s="7">
        <v>32014</v>
      </c>
      <c r="J70" s="21">
        <v>0.51739999999999997</v>
      </c>
      <c r="K70" s="69">
        <f>J71-J70</f>
        <v>-8.2199999999999995E-2</v>
      </c>
      <c r="L70" s="7">
        <v>58498</v>
      </c>
      <c r="M70" s="12">
        <v>0.46610000000000001</v>
      </c>
      <c r="N70" s="71">
        <f>M71-M70</f>
        <v>3.889999999999999E-2</v>
      </c>
      <c r="O70" s="1"/>
      <c r="P70" s="19"/>
      <c r="Q70" s="19"/>
      <c r="R70" s="19"/>
      <c r="S70" s="19"/>
      <c r="T70" s="19"/>
      <c r="U70" s="29"/>
      <c r="V70" s="29"/>
      <c r="W70" s="29"/>
      <c r="X70" s="29"/>
      <c r="Y70" s="29"/>
      <c r="Z70" s="29"/>
      <c r="AA70" s="29"/>
    </row>
    <row r="71" spans="1:27" ht="17.5" thickBot="1" x14ac:dyDescent="0.5">
      <c r="A71" s="47"/>
      <c r="B71" s="68"/>
      <c r="C71" s="27" t="s">
        <v>7</v>
      </c>
      <c r="D71" s="9">
        <v>9980</v>
      </c>
      <c r="E71" s="9">
        <v>25989</v>
      </c>
      <c r="F71" s="9">
        <f t="shared" si="6"/>
        <v>35969</v>
      </c>
      <c r="G71" s="14">
        <v>0.57210000000000005</v>
      </c>
      <c r="H71" s="70"/>
      <c r="I71" s="9">
        <v>26930</v>
      </c>
      <c r="J71" s="23">
        <v>0.43519999999999998</v>
      </c>
      <c r="K71" s="70"/>
      <c r="L71" s="9">
        <v>63372</v>
      </c>
      <c r="M71" s="14">
        <v>0.505</v>
      </c>
      <c r="N71" s="72"/>
      <c r="O71" s="1"/>
      <c r="P71" s="19"/>
      <c r="Q71" s="19"/>
      <c r="R71" s="19"/>
      <c r="S71" s="19"/>
      <c r="T71" s="19"/>
      <c r="U71" s="29"/>
      <c r="V71" s="29"/>
      <c r="W71" s="29"/>
      <c r="X71" s="29"/>
      <c r="Y71" s="29"/>
      <c r="Z71" s="29"/>
      <c r="AA71" s="29"/>
    </row>
    <row r="72" spans="1:27" ht="17.5" thickTop="1" x14ac:dyDescent="0.45">
      <c r="A72" s="47"/>
      <c r="B72" s="75" t="s">
        <v>56</v>
      </c>
      <c r="C72" s="26" t="s">
        <v>6</v>
      </c>
      <c r="D72" s="7">
        <v>6945</v>
      </c>
      <c r="E72" s="7">
        <v>20037</v>
      </c>
      <c r="F72" s="7">
        <f t="shared" si="6"/>
        <v>26982</v>
      </c>
      <c r="G72" s="12">
        <f>F72/(F72+F73)</f>
        <v>0.46887707225523928</v>
      </c>
      <c r="H72" s="69">
        <f>G73-G72</f>
        <v>6.2245855489521384E-2</v>
      </c>
      <c r="I72" s="7">
        <v>35413</v>
      </c>
      <c r="J72" s="21">
        <f>I72/(I72+I73)</f>
        <v>0.61297860555286299</v>
      </c>
      <c r="K72" s="69">
        <f>J73-J72</f>
        <v>-0.22595721110572597</v>
      </c>
      <c r="L72" s="7">
        <v>62720</v>
      </c>
      <c r="M72" s="12">
        <f>L72/(L72+L73)</f>
        <v>0.5401541575162554</v>
      </c>
      <c r="N72" s="71">
        <f>M73-M72</f>
        <v>-8.0308315032510846E-2</v>
      </c>
      <c r="O72" s="1"/>
      <c r="P72" s="19"/>
      <c r="Q72" s="19"/>
      <c r="R72" s="19"/>
      <c r="S72" s="19"/>
      <c r="T72" s="19"/>
      <c r="U72" s="29"/>
      <c r="V72" s="29"/>
      <c r="W72" s="29"/>
      <c r="X72" s="29"/>
      <c r="Y72" s="29"/>
      <c r="Z72" s="29"/>
      <c r="AA72" s="29"/>
    </row>
    <row r="73" spans="1:27" ht="17.5" thickBot="1" x14ac:dyDescent="0.5">
      <c r="A73" s="47"/>
      <c r="B73" s="76"/>
      <c r="C73" s="27" t="s">
        <v>7</v>
      </c>
      <c r="D73" s="9">
        <v>8820</v>
      </c>
      <c r="E73" s="9">
        <v>21744</v>
      </c>
      <c r="F73" s="9">
        <f t="shared" si="6"/>
        <v>30564</v>
      </c>
      <c r="G73" s="14">
        <f>F73/(F73+F72)</f>
        <v>0.53112292774476066</v>
      </c>
      <c r="H73" s="70"/>
      <c r="I73" s="9">
        <v>22359</v>
      </c>
      <c r="J73" s="23">
        <f>I73/(I73+I72)</f>
        <v>0.38702139444713701</v>
      </c>
      <c r="K73" s="70"/>
      <c r="L73" s="9">
        <v>53395</v>
      </c>
      <c r="M73" s="14">
        <f>L73/(L73+L72)</f>
        <v>0.45984584248374455</v>
      </c>
      <c r="N73" s="72"/>
      <c r="O73" s="1"/>
      <c r="P73" s="19"/>
      <c r="Q73" s="19"/>
      <c r="R73" s="19"/>
      <c r="S73" s="19"/>
      <c r="T73" s="19"/>
      <c r="U73" s="29"/>
      <c r="V73" s="29"/>
      <c r="W73" s="29"/>
      <c r="X73" s="29"/>
      <c r="Y73" s="29"/>
      <c r="Z73" s="29"/>
      <c r="AA73" s="29"/>
    </row>
    <row r="74" spans="1:27" ht="17.5" thickTop="1" x14ac:dyDescent="0.45">
      <c r="A74" s="47"/>
      <c r="B74" s="67" t="s">
        <v>57</v>
      </c>
      <c r="C74" s="26" t="s">
        <v>6</v>
      </c>
      <c r="D74" s="7">
        <v>7445</v>
      </c>
      <c r="E74" s="7">
        <v>19797</v>
      </c>
      <c r="F74" s="7">
        <f t="shared" si="6"/>
        <v>27242</v>
      </c>
      <c r="G74" s="12">
        <f>F74/(F74+F75)</f>
        <v>0.36093114458709274</v>
      </c>
      <c r="H74" s="69">
        <f>G75-G74</f>
        <v>0.27813771082581451</v>
      </c>
      <c r="I74" s="7">
        <v>39961</v>
      </c>
      <c r="J74" s="21">
        <f>I74/(I74+I75)</f>
        <v>0.4939738185594027</v>
      </c>
      <c r="K74" s="69">
        <f>J75-J74</f>
        <v>1.20523628811946E-2</v>
      </c>
      <c r="L74" s="7">
        <v>67503</v>
      </c>
      <c r="M74" s="12">
        <f>L74/(L74+L75)</f>
        <v>0.42918725084403075</v>
      </c>
      <c r="N74" s="71">
        <f>M75-M74</f>
        <v>0.14162549831193849</v>
      </c>
      <c r="O74" s="1"/>
      <c r="P74" s="19"/>
      <c r="Q74" s="19"/>
      <c r="R74" s="19"/>
      <c r="S74" s="19"/>
      <c r="T74" s="19"/>
      <c r="U74" s="29"/>
      <c r="V74" s="29"/>
      <c r="W74" s="29"/>
      <c r="X74" s="29"/>
      <c r="Y74" s="29"/>
      <c r="Z74" s="29"/>
      <c r="AA74" s="29"/>
    </row>
    <row r="75" spans="1:27" ht="17.5" thickBot="1" x14ac:dyDescent="0.5">
      <c r="A75" s="47"/>
      <c r="B75" s="68"/>
      <c r="C75" s="27" t="s">
        <v>7</v>
      </c>
      <c r="D75" s="9">
        <v>13143</v>
      </c>
      <c r="E75" s="9">
        <v>35092</v>
      </c>
      <c r="F75" s="9">
        <f t="shared" si="6"/>
        <v>48235</v>
      </c>
      <c r="G75" s="14">
        <f>F75/(F75+F74)</f>
        <v>0.63906885541290726</v>
      </c>
      <c r="H75" s="70"/>
      <c r="I75" s="9">
        <v>40936</v>
      </c>
      <c r="J75" s="23">
        <f>I75/(I75+I74)</f>
        <v>0.5060261814405973</v>
      </c>
      <c r="K75" s="70"/>
      <c r="L75" s="9">
        <v>89778</v>
      </c>
      <c r="M75" s="14">
        <f>L75/(L75+L74)</f>
        <v>0.57081274915596925</v>
      </c>
      <c r="N75" s="72"/>
      <c r="O75" s="1"/>
      <c r="P75" s="19"/>
      <c r="Q75" s="19"/>
      <c r="R75" s="19"/>
      <c r="S75" s="19"/>
      <c r="T75" s="19"/>
      <c r="U75" s="29"/>
      <c r="V75" s="29"/>
      <c r="W75" s="29"/>
      <c r="X75" s="29"/>
      <c r="Y75" s="29"/>
      <c r="Z75" s="29"/>
      <c r="AA75" s="29"/>
    </row>
    <row r="76" spans="1:27" ht="17.5" thickTop="1" x14ac:dyDescent="0.45">
      <c r="A76" s="47"/>
      <c r="B76" s="67" t="s">
        <v>58</v>
      </c>
      <c r="C76" s="26" t="s">
        <v>6</v>
      </c>
      <c r="D76" s="7">
        <v>4978</v>
      </c>
      <c r="E76" s="7">
        <v>12322</v>
      </c>
      <c r="F76" s="7">
        <f t="shared" si="6"/>
        <v>17300</v>
      </c>
      <c r="G76" s="12">
        <v>0.27479999999999999</v>
      </c>
      <c r="H76" s="69">
        <f>G77-G76</f>
        <v>0.37220000000000003</v>
      </c>
      <c r="I76" s="7">
        <v>28938</v>
      </c>
      <c r="J76" s="21">
        <v>0.45479999999999998</v>
      </c>
      <c r="K76" s="69">
        <f>J77-J76</f>
        <v>5.7200000000000029E-2</v>
      </c>
      <c r="L76" s="7">
        <v>49418</v>
      </c>
      <c r="M76" s="12">
        <v>0.38840000000000002</v>
      </c>
      <c r="N76" s="71">
        <f>M77-M76</f>
        <v>0.19139999999999996</v>
      </c>
      <c r="O76" s="1"/>
      <c r="P76" s="19"/>
      <c r="Q76" s="19"/>
      <c r="R76" s="19"/>
      <c r="S76" s="19"/>
      <c r="T76" s="19"/>
      <c r="U76" s="29"/>
      <c r="V76" s="29"/>
      <c r="W76" s="29"/>
      <c r="X76" s="29"/>
      <c r="Y76" s="29"/>
      <c r="Z76" s="29"/>
      <c r="AA76" s="29"/>
    </row>
    <row r="77" spans="1:27" ht="17.5" thickBot="1" x14ac:dyDescent="0.5">
      <c r="A77" s="47"/>
      <c r="B77" s="68"/>
      <c r="C77" s="27" t="s">
        <v>7</v>
      </c>
      <c r="D77" s="9">
        <v>10915</v>
      </c>
      <c r="E77" s="9">
        <v>29807</v>
      </c>
      <c r="F77" s="9">
        <f t="shared" si="6"/>
        <v>40722</v>
      </c>
      <c r="G77" s="14">
        <v>0.64700000000000002</v>
      </c>
      <c r="H77" s="70"/>
      <c r="I77" s="9">
        <v>32577</v>
      </c>
      <c r="J77" s="23">
        <v>0.51200000000000001</v>
      </c>
      <c r="K77" s="70"/>
      <c r="L77" s="9">
        <v>73771</v>
      </c>
      <c r="M77" s="14">
        <v>0.57979999999999998</v>
      </c>
      <c r="N77" s="72"/>
      <c r="O77" s="1"/>
      <c r="P77" s="19"/>
      <c r="Q77" s="19"/>
      <c r="R77" s="19"/>
      <c r="S77" s="19"/>
      <c r="T77" s="19"/>
      <c r="U77" s="29"/>
      <c r="V77" s="29"/>
      <c r="W77" s="29"/>
      <c r="X77" s="29"/>
      <c r="Y77" s="29"/>
      <c r="Z77" s="29"/>
      <c r="AA77" s="29"/>
    </row>
    <row r="78" spans="1:27" ht="17.5" thickTop="1" x14ac:dyDescent="0.45">
      <c r="A78" s="47"/>
      <c r="B78" s="77" t="s">
        <v>59</v>
      </c>
      <c r="C78" s="26" t="s">
        <v>6</v>
      </c>
      <c r="D78" s="7">
        <v>6861</v>
      </c>
      <c r="E78" s="7">
        <v>22349</v>
      </c>
      <c r="F78" s="7">
        <f t="shared" si="6"/>
        <v>29210</v>
      </c>
      <c r="G78" s="12">
        <f>F78/(F78+F79)</f>
        <v>0.60713766082600651</v>
      </c>
      <c r="H78" s="69">
        <f>G79-G78</f>
        <v>-0.21427532165201302</v>
      </c>
      <c r="I78" s="7">
        <v>45129</v>
      </c>
      <c r="J78" s="21">
        <f>I78/(I78+I79)</f>
        <v>0.74855692675159236</v>
      </c>
      <c r="K78" s="69">
        <f>J79-J78</f>
        <v>-0.49711385350318471</v>
      </c>
      <c r="L78" s="7">
        <v>74813</v>
      </c>
      <c r="M78" s="12">
        <f>L78/(L78+L79)</f>
        <v>0.68446766269293058</v>
      </c>
      <c r="N78" s="71">
        <f>M79-M78</f>
        <v>-0.3689353253858611</v>
      </c>
      <c r="O78" s="1"/>
      <c r="P78" s="19"/>
      <c r="Q78" s="19"/>
      <c r="R78" s="19"/>
      <c r="S78" s="19"/>
      <c r="T78" s="19"/>
      <c r="U78" s="29"/>
      <c r="V78" s="29"/>
      <c r="W78" s="29"/>
      <c r="X78" s="29"/>
      <c r="Y78" s="29"/>
      <c r="Z78" s="29"/>
      <c r="AA78" s="29"/>
    </row>
    <row r="79" spans="1:27" ht="17.5" thickBot="1" x14ac:dyDescent="0.5">
      <c r="A79" s="47"/>
      <c r="B79" s="78"/>
      <c r="C79" s="27" t="s">
        <v>7</v>
      </c>
      <c r="D79" s="9">
        <v>5340</v>
      </c>
      <c r="E79" s="9">
        <v>13561</v>
      </c>
      <c r="F79" s="9">
        <f t="shared" si="6"/>
        <v>18901</v>
      </c>
      <c r="G79" s="14">
        <f>F79/(F79+F78)</f>
        <v>0.39286233917399349</v>
      </c>
      <c r="H79" s="70"/>
      <c r="I79" s="9">
        <v>15159</v>
      </c>
      <c r="J79" s="23">
        <f>I79/(I79+I78)</f>
        <v>0.25144307324840764</v>
      </c>
      <c r="K79" s="70"/>
      <c r="L79" s="9">
        <v>34488</v>
      </c>
      <c r="M79" s="14">
        <f>L79/(L79+L78)</f>
        <v>0.31553233730706948</v>
      </c>
      <c r="N79" s="72"/>
      <c r="O79" s="1"/>
      <c r="P79" s="19"/>
      <c r="Q79" s="19"/>
      <c r="R79" s="19"/>
      <c r="S79" s="19"/>
      <c r="T79" s="19"/>
      <c r="U79" s="29"/>
      <c r="V79" s="29"/>
      <c r="W79" s="29"/>
      <c r="X79" s="29"/>
      <c r="Y79" s="29"/>
      <c r="Z79" s="29"/>
      <c r="AA79" s="29"/>
    </row>
    <row r="80" spans="1:27" ht="17.5" thickTop="1" x14ac:dyDescent="0.45">
      <c r="A80" s="47"/>
      <c r="B80" s="75" t="s">
        <v>5</v>
      </c>
      <c r="C80" s="6" t="s">
        <v>6</v>
      </c>
      <c r="D80" s="7">
        <v>8384</v>
      </c>
      <c r="E80" s="7">
        <v>20154</v>
      </c>
      <c r="F80" s="7">
        <f t="shared" ref="F80:F87" si="7">SUM(D80:E80)</f>
        <v>28538</v>
      </c>
      <c r="G80" s="12">
        <f>F80/(F80+F81)</f>
        <v>0.48693011193011193</v>
      </c>
      <c r="H80" s="52">
        <f>G81-G80</f>
        <v>2.6139776139776139E-2</v>
      </c>
      <c r="I80" s="7">
        <v>48420</v>
      </c>
      <c r="J80" s="21">
        <f>I80/(I80+I81)</f>
        <v>0.64384017020144935</v>
      </c>
      <c r="K80" s="52">
        <f>J81-J80</f>
        <v>-0.28768034040289869</v>
      </c>
      <c r="L80" s="7">
        <v>77638</v>
      </c>
      <c r="M80" s="12">
        <f>L80/(L81+L80)</f>
        <v>0.57491743309488896</v>
      </c>
      <c r="N80" s="54">
        <f>M81-M80</f>
        <v>-0.14983486618977798</v>
      </c>
      <c r="O80" s="1"/>
      <c r="P80" s="19"/>
      <c r="Q80" s="19"/>
      <c r="R80" s="19"/>
      <c r="S80" s="19"/>
      <c r="T80" s="19"/>
      <c r="U80" s="29"/>
      <c r="V80" s="29"/>
      <c r="W80" s="29"/>
      <c r="X80" s="29"/>
      <c r="Y80" s="29"/>
      <c r="Z80" s="29"/>
      <c r="AA80" s="29"/>
    </row>
    <row r="81" spans="1:27" ht="17.5" thickBot="1" x14ac:dyDescent="0.5">
      <c r="A81" s="47"/>
      <c r="B81" s="76"/>
      <c r="C81" s="8" t="s">
        <v>7</v>
      </c>
      <c r="D81" s="9">
        <v>9337</v>
      </c>
      <c r="E81" s="9">
        <v>20733</v>
      </c>
      <c r="F81" s="9">
        <f t="shared" si="7"/>
        <v>30070</v>
      </c>
      <c r="G81" s="14">
        <f>F81/(F81+F80)</f>
        <v>0.51306988806988807</v>
      </c>
      <c r="H81" s="53"/>
      <c r="I81" s="9">
        <v>26785</v>
      </c>
      <c r="J81" s="23">
        <f>I81/(I81+I80)</f>
        <v>0.35615982979855065</v>
      </c>
      <c r="K81" s="53"/>
      <c r="L81" s="9">
        <v>57404</v>
      </c>
      <c r="M81" s="14">
        <f>L81/(L81+L80)</f>
        <v>0.42508256690511098</v>
      </c>
      <c r="N81" s="55"/>
      <c r="O81" s="1"/>
      <c r="P81" s="19"/>
      <c r="Q81" s="19"/>
      <c r="R81" s="19"/>
      <c r="S81" s="19"/>
      <c r="T81" s="19"/>
      <c r="U81" s="29"/>
      <c r="V81" s="29"/>
      <c r="W81" s="29"/>
      <c r="X81" s="29"/>
      <c r="Y81" s="29"/>
      <c r="Z81" s="29"/>
      <c r="AA81" s="29"/>
    </row>
    <row r="82" spans="1:27" ht="17.5" thickTop="1" x14ac:dyDescent="0.45">
      <c r="A82" s="47"/>
      <c r="B82" s="77" t="s">
        <v>60</v>
      </c>
      <c r="C82" s="26" t="s">
        <v>6</v>
      </c>
      <c r="D82" s="7">
        <v>6817</v>
      </c>
      <c r="E82" s="7">
        <v>14998</v>
      </c>
      <c r="F82" s="7">
        <f t="shared" si="7"/>
        <v>21815</v>
      </c>
      <c r="G82" s="12">
        <f>F82/(F82+F83)</f>
        <v>0.55346949131041479</v>
      </c>
      <c r="H82" s="69">
        <f>G83-G82</f>
        <v>-0.10693898262082963</v>
      </c>
      <c r="I82" s="7">
        <v>38320</v>
      </c>
      <c r="J82" s="21">
        <f>I82/(I82+I83)</f>
        <v>0.70927499213356282</v>
      </c>
      <c r="K82" s="69">
        <f>J83-J82</f>
        <v>-0.41854998426712564</v>
      </c>
      <c r="L82" s="7">
        <v>60549</v>
      </c>
      <c r="M82" s="12">
        <f>L82/(L82+L83)</f>
        <v>0.64188487225697022</v>
      </c>
      <c r="N82" s="71">
        <f>M83-M82</f>
        <v>-0.28376974451394044</v>
      </c>
      <c r="O82" s="1"/>
      <c r="P82" s="19"/>
      <c r="Q82" s="19"/>
      <c r="R82" s="19"/>
      <c r="S82" s="19"/>
      <c r="T82" s="19"/>
      <c r="U82" s="29"/>
      <c r="V82" s="29"/>
      <c r="W82" s="29"/>
      <c r="X82" s="29"/>
      <c r="Y82" s="29"/>
      <c r="Z82" s="29"/>
      <c r="AA82" s="29"/>
    </row>
    <row r="83" spans="1:27" ht="17.5" thickBot="1" x14ac:dyDescent="0.5">
      <c r="A83" s="47"/>
      <c r="B83" s="78"/>
      <c r="C83" s="27" t="s">
        <v>7</v>
      </c>
      <c r="D83" s="9">
        <v>6344</v>
      </c>
      <c r="E83" s="9">
        <v>11256</v>
      </c>
      <c r="F83" s="9">
        <f t="shared" si="7"/>
        <v>17600</v>
      </c>
      <c r="G83" s="14">
        <f>F83/(F83+F82)</f>
        <v>0.44653050868958516</v>
      </c>
      <c r="H83" s="70"/>
      <c r="I83" s="9">
        <v>15707</v>
      </c>
      <c r="J83" s="23">
        <f>I83/(I83+I82)</f>
        <v>0.29072500786643718</v>
      </c>
      <c r="K83" s="70"/>
      <c r="L83" s="9">
        <v>33781</v>
      </c>
      <c r="M83" s="14">
        <f>L83/(L83+L82)</f>
        <v>0.35811512774302978</v>
      </c>
      <c r="N83" s="72"/>
      <c r="O83" s="1"/>
      <c r="P83" s="19"/>
      <c r="Q83" s="19"/>
      <c r="R83" s="19"/>
      <c r="S83" s="19"/>
      <c r="T83" s="19"/>
      <c r="U83" s="29"/>
      <c r="V83" s="29"/>
      <c r="W83" s="29"/>
      <c r="X83" s="29"/>
      <c r="Y83" s="29"/>
      <c r="Z83" s="29"/>
      <c r="AA83" s="29"/>
    </row>
    <row r="84" spans="1:27" ht="17.5" thickTop="1" x14ac:dyDescent="0.45">
      <c r="A84" s="47"/>
      <c r="B84" s="77" t="s">
        <v>61</v>
      </c>
      <c r="C84" s="26" t="s">
        <v>6</v>
      </c>
      <c r="D84" s="7">
        <v>7268</v>
      </c>
      <c r="E84" s="7">
        <v>20555</v>
      </c>
      <c r="F84" s="7">
        <f t="shared" si="7"/>
        <v>27823</v>
      </c>
      <c r="G84" s="12">
        <f>F84/(F84+F85)</f>
        <v>0.5082754841066861</v>
      </c>
      <c r="H84" s="69">
        <f>G85-G84</f>
        <v>-1.6550968213372264E-2</v>
      </c>
      <c r="I84" s="7">
        <v>43389</v>
      </c>
      <c r="J84" s="21">
        <f>I84/(I84+I85)</f>
        <v>0.65077317654822797</v>
      </c>
      <c r="K84" s="69">
        <f>J85-J84</f>
        <v>-0.30154635309645589</v>
      </c>
      <c r="L84" s="7">
        <v>71633</v>
      </c>
      <c r="M84" s="12">
        <f>L84/(L84+L85)</f>
        <v>0.58573461110747693</v>
      </c>
      <c r="N84" s="71">
        <f>M85-M84</f>
        <v>-0.17146922221495386</v>
      </c>
      <c r="O84" s="1"/>
      <c r="P84" s="19"/>
      <c r="Q84" s="19"/>
      <c r="R84" s="19"/>
      <c r="S84" s="19"/>
      <c r="T84" s="19"/>
      <c r="U84" s="29"/>
      <c r="V84" s="29"/>
      <c r="W84" s="29"/>
      <c r="X84" s="29"/>
      <c r="Y84" s="29"/>
      <c r="Z84" s="29"/>
      <c r="AA84" s="29"/>
    </row>
    <row r="85" spans="1:27" ht="17.5" thickBot="1" x14ac:dyDescent="0.5">
      <c r="A85" s="47"/>
      <c r="B85" s="78"/>
      <c r="C85" s="27" t="s">
        <v>7</v>
      </c>
      <c r="D85" s="9">
        <v>7359</v>
      </c>
      <c r="E85" s="9">
        <v>19558</v>
      </c>
      <c r="F85" s="9">
        <f t="shared" si="7"/>
        <v>26917</v>
      </c>
      <c r="G85" s="14">
        <f>F85/(F85+F84)</f>
        <v>0.49172451589331384</v>
      </c>
      <c r="H85" s="70"/>
      <c r="I85" s="9">
        <v>23284</v>
      </c>
      <c r="J85" s="23">
        <f>I85/(I85+I84)</f>
        <v>0.34922682345177208</v>
      </c>
      <c r="K85" s="70"/>
      <c r="L85" s="9">
        <v>50663</v>
      </c>
      <c r="M85" s="14">
        <f>L85/(L85+L84)</f>
        <v>0.41426538889252307</v>
      </c>
      <c r="N85" s="72"/>
      <c r="O85" s="1"/>
      <c r="P85" s="19"/>
      <c r="Q85" s="19"/>
      <c r="R85" s="19"/>
      <c r="S85" s="19"/>
      <c r="T85" s="19"/>
      <c r="U85" s="29"/>
      <c r="V85" s="29"/>
      <c r="W85" s="29"/>
      <c r="X85" s="29"/>
      <c r="Y85" s="29"/>
      <c r="Z85" s="29"/>
      <c r="AA85" s="29"/>
    </row>
    <row r="86" spans="1:27" ht="17.5" thickTop="1" x14ac:dyDescent="0.45">
      <c r="A86" s="47"/>
      <c r="B86" s="77" t="s">
        <v>63</v>
      </c>
      <c r="C86" s="26" t="s">
        <v>6</v>
      </c>
      <c r="D86" s="7">
        <v>7087</v>
      </c>
      <c r="E86" s="7">
        <v>16126</v>
      </c>
      <c r="F86" s="7">
        <f t="shared" si="7"/>
        <v>23213</v>
      </c>
      <c r="G86" s="12">
        <v>0.5706</v>
      </c>
      <c r="H86" s="69">
        <f>G87-G86</f>
        <v>-0.14950000000000002</v>
      </c>
      <c r="I86" s="7">
        <v>42914</v>
      </c>
      <c r="J86" s="21">
        <v>0.72909999999999997</v>
      </c>
      <c r="K86" s="69">
        <f>J87-J86</f>
        <v>-0.46869999999999995</v>
      </c>
      <c r="L86" s="7">
        <v>66597</v>
      </c>
      <c r="M86" s="12">
        <v>0.66290000000000004</v>
      </c>
      <c r="N86" s="71">
        <f>M87-M86</f>
        <v>-0.33530000000000004</v>
      </c>
      <c r="O86" s="1"/>
      <c r="P86" s="19"/>
      <c r="Q86" s="19"/>
      <c r="R86" s="19"/>
      <c r="S86" s="19"/>
      <c r="T86" s="19"/>
      <c r="U86" s="29"/>
      <c r="V86" s="29"/>
      <c r="W86" s="29"/>
      <c r="X86" s="29"/>
      <c r="Y86" s="29"/>
      <c r="Z86" s="29"/>
      <c r="AA86" s="29"/>
    </row>
    <row r="87" spans="1:27" ht="17.5" thickBot="1" x14ac:dyDescent="0.5">
      <c r="A87" s="47"/>
      <c r="B87" s="78"/>
      <c r="C87" s="27" t="s">
        <v>7</v>
      </c>
      <c r="D87" s="9">
        <v>5361</v>
      </c>
      <c r="E87" s="9">
        <v>11770</v>
      </c>
      <c r="F87" s="9">
        <f t="shared" si="7"/>
        <v>17131</v>
      </c>
      <c r="G87" s="14">
        <v>0.42109999999999997</v>
      </c>
      <c r="H87" s="70"/>
      <c r="I87" s="9">
        <v>15329</v>
      </c>
      <c r="J87" s="23">
        <v>0.26040000000000002</v>
      </c>
      <c r="K87" s="70"/>
      <c r="L87" s="9">
        <v>32908</v>
      </c>
      <c r="M87" s="14">
        <v>0.3276</v>
      </c>
      <c r="N87" s="72"/>
      <c r="O87" s="1"/>
      <c r="P87" s="19"/>
      <c r="Q87" s="19"/>
      <c r="R87" s="19"/>
      <c r="S87" s="19"/>
      <c r="T87" s="19"/>
      <c r="U87" s="29"/>
      <c r="V87" s="29"/>
      <c r="W87" s="29"/>
      <c r="X87" s="29"/>
      <c r="Y87" s="29"/>
      <c r="Z87" s="29"/>
      <c r="AA87" s="29"/>
    </row>
    <row r="88" spans="1:27" ht="17.5" thickTop="1" x14ac:dyDescent="0.45">
      <c r="A88" s="47"/>
      <c r="B88" s="75" t="s">
        <v>64</v>
      </c>
      <c r="C88" s="26" t="s">
        <v>6</v>
      </c>
      <c r="D88" s="7">
        <v>4756</v>
      </c>
      <c r="E88" s="7">
        <v>19428</v>
      </c>
      <c r="F88" s="7">
        <f t="shared" ref="F88:F94" si="8">SUM(D88:E88)</f>
        <v>24184</v>
      </c>
      <c r="G88" s="12">
        <v>0.45350000000000001</v>
      </c>
      <c r="H88" s="69">
        <f>G89-G88</f>
        <v>6.8599999999999994E-2</v>
      </c>
      <c r="I88" s="7">
        <v>32054</v>
      </c>
      <c r="J88" s="21">
        <v>0.59209999999999996</v>
      </c>
      <c r="K88" s="69">
        <f>J89-J88</f>
        <v>-0.21219999999999994</v>
      </c>
      <c r="L88" s="7">
        <v>56521</v>
      </c>
      <c r="M88" s="12">
        <v>0.52239999999999998</v>
      </c>
      <c r="N88" s="71">
        <f>M89-M88</f>
        <v>-7.1099999999999997E-2</v>
      </c>
      <c r="O88" s="1"/>
      <c r="P88" s="19"/>
      <c r="Q88" s="19"/>
      <c r="R88" s="19"/>
      <c r="S88" s="19"/>
      <c r="T88" s="19"/>
      <c r="U88" s="29"/>
      <c r="V88" s="29"/>
      <c r="W88" s="29"/>
      <c r="X88" s="29"/>
      <c r="Y88" s="29"/>
      <c r="Z88" s="29"/>
      <c r="AA88" s="29"/>
    </row>
    <row r="89" spans="1:27" ht="17.5" thickBot="1" x14ac:dyDescent="0.5">
      <c r="A89" s="47"/>
      <c r="B89" s="76"/>
      <c r="C89" s="27" t="s">
        <v>7</v>
      </c>
      <c r="D89" s="9">
        <v>5993</v>
      </c>
      <c r="E89" s="9">
        <v>21848</v>
      </c>
      <c r="F89" s="9">
        <f t="shared" si="8"/>
        <v>27841</v>
      </c>
      <c r="G89" s="14">
        <v>0.52210000000000001</v>
      </c>
      <c r="H89" s="70"/>
      <c r="I89" s="9">
        <v>20567</v>
      </c>
      <c r="J89" s="23">
        <v>0.37990000000000002</v>
      </c>
      <c r="K89" s="70"/>
      <c r="L89" s="9">
        <v>48831</v>
      </c>
      <c r="M89" s="14">
        <v>0.45129999999999998</v>
      </c>
      <c r="N89" s="72"/>
      <c r="O89" s="1"/>
      <c r="P89" s="19"/>
      <c r="Q89" s="19"/>
      <c r="R89" s="19"/>
      <c r="S89" s="19"/>
      <c r="T89" s="19"/>
      <c r="U89" s="29"/>
      <c r="V89" s="29"/>
      <c r="W89" s="29"/>
      <c r="X89" s="29"/>
      <c r="Y89" s="29"/>
      <c r="Z89" s="29"/>
      <c r="AA89" s="29"/>
    </row>
    <row r="90" spans="1:27" ht="17.5" thickTop="1" x14ac:dyDescent="0.45">
      <c r="A90" s="47"/>
      <c r="B90" s="75" t="s">
        <v>65</v>
      </c>
      <c r="C90" s="26" t="s">
        <v>6</v>
      </c>
      <c r="D90" s="7">
        <v>7658</v>
      </c>
      <c r="E90" s="7">
        <v>23092</v>
      </c>
      <c r="F90" s="7">
        <f t="shared" si="8"/>
        <v>30750</v>
      </c>
      <c r="G90" s="12">
        <f>F90/(F90+F91)</f>
        <v>0.49631195829365526</v>
      </c>
      <c r="H90" s="69">
        <f>G91-G90</f>
        <v>7.3760834126894714E-3</v>
      </c>
      <c r="I90" s="7">
        <v>46393</v>
      </c>
      <c r="J90" s="21">
        <f>I90/(I90+I91)</f>
        <v>0.639030840645188</v>
      </c>
      <c r="K90" s="69">
        <f>J91-J90</f>
        <v>-0.27806168129037595</v>
      </c>
      <c r="L90" s="7">
        <v>77531</v>
      </c>
      <c r="M90" s="12">
        <f>L90/(L90+L91)</f>
        <v>0.57209583754547266</v>
      </c>
      <c r="N90" s="71">
        <f>M91-M90</f>
        <v>-0.14419167509094533</v>
      </c>
      <c r="O90" s="1"/>
      <c r="P90" s="19"/>
      <c r="Q90" s="19"/>
      <c r="R90" s="19"/>
      <c r="S90" s="19"/>
      <c r="T90" s="19"/>
      <c r="U90" s="29"/>
      <c r="V90" s="29"/>
      <c r="W90" s="29"/>
      <c r="X90" s="29"/>
      <c r="Y90" s="29"/>
      <c r="Z90" s="29"/>
      <c r="AA90" s="29"/>
    </row>
    <row r="91" spans="1:27" ht="17.5" thickBot="1" x14ac:dyDescent="0.5">
      <c r="A91" s="47"/>
      <c r="B91" s="76"/>
      <c r="C91" s="27" t="s">
        <v>7</v>
      </c>
      <c r="D91" s="9">
        <v>8419</v>
      </c>
      <c r="E91" s="9">
        <v>22788</v>
      </c>
      <c r="F91" s="9">
        <f t="shared" si="8"/>
        <v>31207</v>
      </c>
      <c r="G91" s="14">
        <f>F91/(F91+F90)</f>
        <v>0.50368804170634474</v>
      </c>
      <c r="H91" s="70"/>
      <c r="I91" s="9">
        <v>26206</v>
      </c>
      <c r="J91" s="23">
        <f>I91/(I91+I90)</f>
        <v>0.36096915935481205</v>
      </c>
      <c r="K91" s="70"/>
      <c r="L91" s="9">
        <v>57990</v>
      </c>
      <c r="M91" s="14">
        <f>L91/(L91+L90)</f>
        <v>0.42790416245452734</v>
      </c>
      <c r="N91" s="72"/>
      <c r="O91" s="1"/>
      <c r="P91" s="19"/>
      <c r="Q91" s="19"/>
      <c r="R91" s="19"/>
      <c r="S91" s="19"/>
      <c r="T91" s="19"/>
      <c r="U91" s="29"/>
      <c r="V91" s="29"/>
      <c r="W91" s="29"/>
      <c r="X91" s="29"/>
      <c r="Y91" s="29"/>
      <c r="Z91" s="29"/>
      <c r="AA91" s="29"/>
    </row>
    <row r="92" spans="1:27" ht="17.5" thickTop="1" x14ac:dyDescent="0.45">
      <c r="A92" s="47"/>
      <c r="B92" s="67" t="s">
        <v>66</v>
      </c>
      <c r="C92" s="26" t="s">
        <v>6</v>
      </c>
      <c r="D92" s="7">
        <v>7588</v>
      </c>
      <c r="E92" s="7">
        <v>22706</v>
      </c>
      <c r="F92" s="7">
        <f t="shared" si="8"/>
        <v>30294</v>
      </c>
      <c r="G92" s="12">
        <f>F92/(F92+F93)</f>
        <v>0.41981125538725905</v>
      </c>
      <c r="H92" s="69">
        <f>G93-G92</f>
        <v>0.1603774892254819</v>
      </c>
      <c r="I92" s="7">
        <v>46431</v>
      </c>
      <c r="J92" s="21">
        <f>I92/(I92+I93)</f>
        <v>0.5506326862184695</v>
      </c>
      <c r="K92" s="69">
        <f>J93-J92</f>
        <v>-0.10126537243693895</v>
      </c>
      <c r="L92" s="7">
        <v>77072</v>
      </c>
      <c r="M92" s="12">
        <f>L92/(L92+L93)</f>
        <v>0.48956361557517625</v>
      </c>
      <c r="N92" s="71">
        <f>M93-M92</f>
        <v>2.0872768849647505E-2</v>
      </c>
      <c r="O92" s="1"/>
      <c r="P92" s="19"/>
      <c r="Q92" s="19"/>
      <c r="R92" s="19"/>
      <c r="S92" s="19"/>
      <c r="T92" s="19"/>
      <c r="U92" s="29"/>
      <c r="V92" s="29"/>
      <c r="W92" s="29"/>
      <c r="X92" s="29"/>
      <c r="Y92" s="29"/>
      <c r="Z92" s="29"/>
      <c r="AA92" s="29"/>
    </row>
    <row r="93" spans="1:27" ht="17.5" thickBot="1" x14ac:dyDescent="0.5">
      <c r="A93" s="47"/>
      <c r="B93" s="68"/>
      <c r="C93" s="27" t="s">
        <v>7</v>
      </c>
      <c r="D93" s="9">
        <v>10481</v>
      </c>
      <c r="E93" s="9">
        <v>31386</v>
      </c>
      <c r="F93" s="9">
        <f t="shared" si="8"/>
        <v>41867</v>
      </c>
      <c r="G93" s="14">
        <f>F93/(F93+F92)</f>
        <v>0.58018874461274095</v>
      </c>
      <c r="H93" s="70"/>
      <c r="I93" s="9">
        <v>37892</v>
      </c>
      <c r="J93" s="23">
        <f>I93/(I93+I92)</f>
        <v>0.44936731378153055</v>
      </c>
      <c r="K93" s="70"/>
      <c r="L93" s="9">
        <v>80358</v>
      </c>
      <c r="M93" s="14">
        <f>L93/(L93+L92)</f>
        <v>0.51043638442482375</v>
      </c>
      <c r="N93" s="72"/>
      <c r="O93" s="1"/>
      <c r="P93" s="19"/>
      <c r="Q93" s="19"/>
      <c r="R93" s="19"/>
      <c r="S93" s="19"/>
      <c r="T93" s="19"/>
      <c r="U93" s="29"/>
      <c r="V93" s="29"/>
      <c r="W93" s="29"/>
      <c r="X93" s="29"/>
      <c r="Y93" s="29"/>
      <c r="Z93" s="29"/>
      <c r="AA93" s="29"/>
    </row>
    <row r="94" spans="1:27" ht="17.5" thickTop="1" x14ac:dyDescent="0.45">
      <c r="A94" s="47"/>
      <c r="B94" s="67" t="s">
        <v>67</v>
      </c>
      <c r="C94" s="26" t="s">
        <v>6</v>
      </c>
      <c r="D94" s="7">
        <v>6065</v>
      </c>
      <c r="E94" s="7">
        <v>22437</v>
      </c>
      <c r="F94" s="7">
        <f t="shared" si="8"/>
        <v>28502</v>
      </c>
      <c r="G94" s="12">
        <v>0.40960000000000002</v>
      </c>
      <c r="H94" s="69">
        <f>G95-G94</f>
        <v>0.16229999999999994</v>
      </c>
      <c r="I94" s="7">
        <v>41708</v>
      </c>
      <c r="J94" s="21">
        <v>0.54339999999999999</v>
      </c>
      <c r="K94" s="69">
        <f>J95-J94</f>
        <v>-0.10770000000000002</v>
      </c>
      <c r="L94" s="7">
        <v>70489</v>
      </c>
      <c r="M94" s="12">
        <v>0.47889999999999999</v>
      </c>
      <c r="N94" s="71">
        <f>M95-M94</f>
        <v>2.2399999999999975E-2</v>
      </c>
      <c r="O94" s="1"/>
      <c r="P94" s="19"/>
      <c r="Q94" s="19"/>
      <c r="R94" s="19"/>
      <c r="S94" s="19"/>
      <c r="T94" s="19"/>
      <c r="U94" s="29"/>
      <c r="V94" s="29"/>
      <c r="W94" s="29"/>
      <c r="X94" s="29"/>
      <c r="Y94" s="29"/>
      <c r="Z94" s="29"/>
      <c r="AA94" s="29"/>
    </row>
    <row r="95" spans="1:27" ht="17.5" thickBot="1" x14ac:dyDescent="0.5">
      <c r="A95" s="47"/>
      <c r="B95" s="68"/>
      <c r="C95" s="27" t="s">
        <v>7</v>
      </c>
      <c r="D95" s="9">
        <v>9178</v>
      </c>
      <c r="E95" s="9">
        <v>30622</v>
      </c>
      <c r="F95" s="9">
        <f t="shared" ref="F95:F125" si="9">SUM(D95:E95)</f>
        <v>39800</v>
      </c>
      <c r="G95" s="14">
        <v>0.57189999999999996</v>
      </c>
      <c r="H95" s="70"/>
      <c r="I95" s="9">
        <v>33438</v>
      </c>
      <c r="J95" s="23">
        <v>0.43569999999999998</v>
      </c>
      <c r="K95" s="70"/>
      <c r="L95" s="9">
        <v>73791</v>
      </c>
      <c r="M95" s="14">
        <v>0.50129999999999997</v>
      </c>
      <c r="N95" s="72"/>
      <c r="O95" s="1"/>
      <c r="P95" s="19"/>
      <c r="Q95" s="19"/>
      <c r="R95" s="19"/>
      <c r="S95" s="19"/>
      <c r="T95" s="19"/>
      <c r="U95" s="29"/>
      <c r="V95" s="29"/>
      <c r="W95" s="29"/>
      <c r="X95" s="29"/>
      <c r="Y95" s="29"/>
      <c r="Z95" s="29"/>
      <c r="AA95" s="29"/>
    </row>
    <row r="96" spans="1:27" ht="17.5" thickTop="1" x14ac:dyDescent="0.45">
      <c r="A96" s="47"/>
      <c r="B96" s="67" t="s">
        <v>68</v>
      </c>
      <c r="C96" s="30" t="s">
        <v>6</v>
      </c>
      <c r="D96" s="31">
        <v>6116</v>
      </c>
      <c r="E96" s="31">
        <v>18445</v>
      </c>
      <c r="F96" s="31">
        <f t="shared" si="9"/>
        <v>24561</v>
      </c>
      <c r="G96" s="32">
        <v>0.38340000000000002</v>
      </c>
      <c r="H96" s="73">
        <f>G97-G96</f>
        <v>0.21579999999999994</v>
      </c>
      <c r="I96" s="31">
        <v>34784</v>
      </c>
      <c r="J96" s="32">
        <v>0.50770000000000004</v>
      </c>
      <c r="K96" s="73">
        <f>J97-J96</f>
        <v>-3.3200000000000063E-2</v>
      </c>
      <c r="L96" s="31">
        <v>59551</v>
      </c>
      <c r="M96" s="32">
        <v>0.44679999999999997</v>
      </c>
      <c r="N96" s="73">
        <f>M97-M96</f>
        <v>8.8700000000000001E-2</v>
      </c>
      <c r="O96" s="1"/>
      <c r="P96" s="19"/>
      <c r="Q96" s="19"/>
      <c r="R96" s="19"/>
      <c r="S96" s="19"/>
      <c r="T96" s="19"/>
      <c r="U96" s="29"/>
      <c r="V96" s="29"/>
      <c r="W96" s="29"/>
      <c r="X96" s="29"/>
      <c r="Y96" s="29"/>
      <c r="Z96" s="29"/>
      <c r="AA96" s="29"/>
    </row>
    <row r="97" spans="1:28" ht="17.5" thickBot="1" x14ac:dyDescent="0.5">
      <c r="A97" s="48"/>
      <c r="B97" s="68"/>
      <c r="C97" s="36" t="s">
        <v>7</v>
      </c>
      <c r="D97" s="37">
        <v>10657</v>
      </c>
      <c r="E97" s="37">
        <v>27724</v>
      </c>
      <c r="F97" s="37">
        <f t="shared" si="9"/>
        <v>38381</v>
      </c>
      <c r="G97" s="38">
        <v>0.59919999999999995</v>
      </c>
      <c r="H97" s="74"/>
      <c r="I97" s="37">
        <v>32510</v>
      </c>
      <c r="J97" s="38">
        <v>0.47449999999999998</v>
      </c>
      <c r="K97" s="74"/>
      <c r="L97" s="37">
        <v>71376</v>
      </c>
      <c r="M97" s="38">
        <v>0.53549999999999998</v>
      </c>
      <c r="N97" s="74"/>
      <c r="O97" s="1"/>
      <c r="P97" s="19"/>
      <c r="Q97" s="19"/>
      <c r="R97" s="19"/>
      <c r="S97" s="19"/>
      <c r="T97" s="19"/>
      <c r="U97" s="29"/>
      <c r="V97" s="29"/>
      <c r="W97" s="29"/>
      <c r="X97" s="29"/>
      <c r="Y97" s="29"/>
      <c r="Z97" s="29"/>
      <c r="AA97" s="29"/>
    </row>
    <row r="98" spans="1:28" ht="17.5" thickTop="1" x14ac:dyDescent="0.45">
      <c r="A98" s="46" t="s">
        <v>69</v>
      </c>
      <c r="B98" s="56" t="s">
        <v>70</v>
      </c>
      <c r="C98" s="10" t="s">
        <v>6</v>
      </c>
      <c r="D98" s="11">
        <v>3422</v>
      </c>
      <c r="E98" s="11">
        <v>16814</v>
      </c>
      <c r="F98" s="11">
        <f t="shared" si="9"/>
        <v>20236</v>
      </c>
      <c r="G98" s="15">
        <v>0.49459999999999998</v>
      </c>
      <c r="H98" s="52">
        <f>G99-G98</f>
        <v>-3.8999999999999591E-3</v>
      </c>
      <c r="I98" s="11">
        <v>25817</v>
      </c>
      <c r="J98" s="24">
        <v>0.60099999999999998</v>
      </c>
      <c r="K98" s="52">
        <f>J99-J98</f>
        <v>-0.21949999999999997</v>
      </c>
      <c r="L98" s="11">
        <v>46254</v>
      </c>
      <c r="M98" s="15">
        <v>0.54820000000000002</v>
      </c>
      <c r="N98" s="54">
        <f>M99-M98</f>
        <v>-0.11270000000000002</v>
      </c>
      <c r="O98" s="1"/>
      <c r="P98" s="19"/>
      <c r="Q98" s="19"/>
      <c r="R98" s="19"/>
      <c r="S98" s="19"/>
      <c r="T98" s="19"/>
      <c r="U98" s="29"/>
      <c r="V98" s="29"/>
      <c r="W98" s="29"/>
      <c r="X98" s="29"/>
      <c r="Y98" s="29"/>
      <c r="Z98" s="29"/>
      <c r="AA98" s="29"/>
    </row>
    <row r="99" spans="1:28" ht="17.5" thickBot="1" x14ac:dyDescent="0.5">
      <c r="A99" s="47"/>
      <c r="B99" s="57"/>
      <c r="C99" s="8" t="s">
        <v>7</v>
      </c>
      <c r="D99" s="9">
        <v>4278</v>
      </c>
      <c r="E99" s="9">
        <v>15798</v>
      </c>
      <c r="F99" s="9">
        <f t="shared" si="9"/>
        <v>20076</v>
      </c>
      <c r="G99" s="14">
        <v>0.49070000000000003</v>
      </c>
      <c r="H99" s="53"/>
      <c r="I99" s="9">
        <v>16386</v>
      </c>
      <c r="J99" s="23">
        <v>0.38150000000000001</v>
      </c>
      <c r="K99" s="53"/>
      <c r="L99" s="9">
        <v>36739</v>
      </c>
      <c r="M99" s="14">
        <v>0.4355</v>
      </c>
      <c r="N99" s="55"/>
      <c r="O99" s="1"/>
      <c r="P99" s="19"/>
      <c r="Q99" s="19"/>
      <c r="R99" s="19"/>
      <c r="S99" s="19"/>
      <c r="T99" s="19"/>
      <c r="U99" s="29"/>
      <c r="V99" s="29"/>
      <c r="W99" s="29"/>
      <c r="X99" s="29"/>
      <c r="Y99" s="29"/>
      <c r="Z99" s="29"/>
      <c r="AA99" s="29"/>
    </row>
    <row r="100" spans="1:28" ht="17.5" thickTop="1" x14ac:dyDescent="0.45">
      <c r="A100" s="47"/>
      <c r="B100" s="56" t="s">
        <v>71</v>
      </c>
      <c r="C100" s="10" t="s">
        <v>6</v>
      </c>
      <c r="D100" s="11">
        <v>5579</v>
      </c>
      <c r="E100" s="11">
        <v>22758</v>
      </c>
      <c r="F100" s="11">
        <f t="shared" si="9"/>
        <v>28337</v>
      </c>
      <c r="G100" s="15">
        <f>F100/(F100+F101)</f>
        <v>0.5204510808676327</v>
      </c>
      <c r="H100" s="52">
        <f>G101-G100</f>
        <v>-4.0902161735265452E-2</v>
      </c>
      <c r="I100" s="11">
        <v>36261</v>
      </c>
      <c r="J100" s="24">
        <f>I100/(I100+I101)</f>
        <v>0.63757846429764564</v>
      </c>
      <c r="K100" s="52">
        <f>J101-J100</f>
        <v>-0.27515692859529128</v>
      </c>
      <c r="L100" s="11">
        <v>64884</v>
      </c>
      <c r="M100" s="15">
        <f>L100/(L100+L101)</f>
        <v>0.57958016971862436</v>
      </c>
      <c r="N100" s="54">
        <f>M101-M100</f>
        <v>-0.15916033943724872</v>
      </c>
      <c r="O100" s="1"/>
      <c r="P100" s="1"/>
      <c r="Q100" s="19"/>
      <c r="R100" s="19"/>
      <c r="S100" s="19"/>
      <c r="T100" s="19"/>
      <c r="U100" s="19"/>
      <c r="V100" s="29"/>
      <c r="W100" s="29"/>
      <c r="X100" s="29"/>
      <c r="Y100" s="29"/>
      <c r="Z100" s="29"/>
      <c r="AA100" s="29"/>
      <c r="AB100" s="29"/>
    </row>
    <row r="101" spans="1:28" ht="17.5" thickBot="1" x14ac:dyDescent="0.5">
      <c r="A101" s="47"/>
      <c r="B101" s="57"/>
      <c r="C101" s="8" t="s">
        <v>7</v>
      </c>
      <c r="D101" s="9">
        <v>6521</v>
      </c>
      <c r="E101" s="9">
        <v>19589</v>
      </c>
      <c r="F101" s="9">
        <f t="shared" si="9"/>
        <v>26110</v>
      </c>
      <c r="G101" s="14">
        <f>F101/(F101+F100)</f>
        <v>0.47954891913236725</v>
      </c>
      <c r="H101" s="53"/>
      <c r="I101" s="9">
        <v>20612</v>
      </c>
      <c r="J101" s="23">
        <f>I101/(I101+I100)</f>
        <v>0.36242153570235436</v>
      </c>
      <c r="K101" s="53"/>
      <c r="L101" s="9">
        <v>47066</v>
      </c>
      <c r="M101" s="14">
        <f>L101/(L101+L100)</f>
        <v>0.42041983028137564</v>
      </c>
      <c r="N101" s="55"/>
      <c r="O101" s="1"/>
      <c r="P101" s="1"/>
      <c r="Q101" s="19"/>
      <c r="R101" s="19"/>
      <c r="S101" s="19"/>
      <c r="T101" s="19"/>
      <c r="U101" s="19"/>
      <c r="V101" s="29"/>
      <c r="W101" s="29"/>
      <c r="X101" s="29"/>
      <c r="Y101" s="29"/>
      <c r="Z101" s="29"/>
      <c r="AA101" s="29"/>
      <c r="AB101" s="29"/>
    </row>
    <row r="102" spans="1:28" ht="17.5" thickTop="1" x14ac:dyDescent="0.45">
      <c r="A102" s="47"/>
      <c r="B102" s="58" t="s">
        <v>72</v>
      </c>
      <c r="C102" s="10" t="s">
        <v>6</v>
      </c>
      <c r="D102" s="11">
        <v>4678</v>
      </c>
      <c r="E102" s="11">
        <v>16339</v>
      </c>
      <c r="F102" s="11">
        <f t="shared" si="9"/>
        <v>21017</v>
      </c>
      <c r="G102" s="15">
        <f>F102/(F102+F103)</f>
        <v>0.45668281871319616</v>
      </c>
      <c r="H102" s="52">
        <f>G103-G102</f>
        <v>8.6634362573607682E-2</v>
      </c>
      <c r="I102" s="11">
        <v>34941</v>
      </c>
      <c r="J102" s="24">
        <f>I102/(I102+I103)</f>
        <v>0.58352677900432537</v>
      </c>
      <c r="K102" s="52">
        <f>J103-J102</f>
        <v>-0.16705355800865074</v>
      </c>
      <c r="L102" s="11">
        <v>58159</v>
      </c>
      <c r="M102" s="15">
        <f>L102/(L102+L103)</f>
        <v>0.53662609915204973</v>
      </c>
      <c r="N102" s="54">
        <f>M103-M102</f>
        <v>-7.3252198304099458E-2</v>
      </c>
      <c r="P102" s="1"/>
      <c r="Q102" s="19"/>
      <c r="R102" s="19"/>
      <c r="S102" s="19"/>
      <c r="T102" s="19"/>
      <c r="U102" s="19"/>
      <c r="V102" s="29"/>
      <c r="W102" s="29"/>
      <c r="X102" s="29"/>
      <c r="Y102" s="29"/>
      <c r="Z102" s="29"/>
      <c r="AA102" s="29"/>
      <c r="AB102" s="29"/>
    </row>
    <row r="103" spans="1:28" ht="17.5" thickBot="1" x14ac:dyDescent="0.5">
      <c r="A103" s="47"/>
      <c r="B103" s="59"/>
      <c r="C103" s="8" t="s">
        <v>7</v>
      </c>
      <c r="D103" s="9">
        <v>7037</v>
      </c>
      <c r="E103" s="9">
        <v>17967</v>
      </c>
      <c r="F103" s="9">
        <f t="shared" si="9"/>
        <v>25004</v>
      </c>
      <c r="G103" s="14">
        <f>F103/(F103+F102)</f>
        <v>0.54331718128680384</v>
      </c>
      <c r="H103" s="53"/>
      <c r="I103" s="9">
        <v>24938</v>
      </c>
      <c r="J103" s="23">
        <f>I103/(I103+I102)</f>
        <v>0.41647322099567463</v>
      </c>
      <c r="K103" s="53"/>
      <c r="L103" s="9">
        <v>50220</v>
      </c>
      <c r="M103" s="14">
        <f>L103/(L103+L102)</f>
        <v>0.46337390084795027</v>
      </c>
      <c r="N103" s="55"/>
      <c r="P103" s="1"/>
      <c r="Q103" s="19"/>
      <c r="R103" s="19"/>
      <c r="S103" s="19"/>
      <c r="T103" s="19"/>
      <c r="U103" s="19"/>
      <c r="V103" s="29"/>
      <c r="W103" s="29"/>
      <c r="X103" s="29"/>
      <c r="Y103" s="29"/>
      <c r="Z103" s="29"/>
      <c r="AA103" s="29"/>
      <c r="AB103" s="29"/>
    </row>
    <row r="104" spans="1:28" ht="17.5" thickTop="1" x14ac:dyDescent="0.45">
      <c r="A104" s="47"/>
      <c r="B104" s="58" t="s">
        <v>73</v>
      </c>
      <c r="C104" s="10" t="s">
        <v>6</v>
      </c>
      <c r="D104" s="11">
        <v>5370</v>
      </c>
      <c r="E104" s="11">
        <v>15713</v>
      </c>
      <c r="F104" s="11">
        <f t="shared" si="9"/>
        <v>21083</v>
      </c>
      <c r="G104" s="15">
        <v>0.47520000000000001</v>
      </c>
      <c r="H104" s="52">
        <f>G105-G104</f>
        <v>3.2799999999999996E-2</v>
      </c>
      <c r="I104" s="11">
        <v>32644</v>
      </c>
      <c r="J104" s="24">
        <v>0.58750000000000002</v>
      </c>
      <c r="K104" s="52">
        <f>J105-J104</f>
        <v>-0.20040000000000002</v>
      </c>
      <c r="L104" s="11">
        <v>53897</v>
      </c>
      <c r="M104" s="15">
        <v>0.53720000000000001</v>
      </c>
      <c r="N104" s="54">
        <f>M105-M104</f>
        <v>-9.5799999999999996E-2</v>
      </c>
      <c r="P104" s="1"/>
      <c r="Q104" s="19"/>
      <c r="R104" s="19"/>
      <c r="S104" s="19"/>
      <c r="T104" s="19"/>
      <c r="U104" s="19"/>
      <c r="V104" s="29"/>
      <c r="W104" s="29"/>
      <c r="X104" s="29"/>
      <c r="Y104" s="29"/>
      <c r="Z104" s="29"/>
      <c r="AA104" s="29"/>
      <c r="AB104" s="29"/>
    </row>
    <row r="105" spans="1:28" ht="17.5" thickBot="1" x14ac:dyDescent="0.5">
      <c r="A105" s="47"/>
      <c r="B105" s="59"/>
      <c r="C105" s="8" t="s">
        <v>7</v>
      </c>
      <c r="D105" s="9">
        <v>6783</v>
      </c>
      <c r="E105" s="9">
        <v>15755</v>
      </c>
      <c r="F105" s="9">
        <f t="shared" si="9"/>
        <v>22538</v>
      </c>
      <c r="G105" s="14">
        <v>0.50800000000000001</v>
      </c>
      <c r="H105" s="53"/>
      <c r="I105" s="9">
        <v>21509</v>
      </c>
      <c r="J105" s="23">
        <v>0.3871</v>
      </c>
      <c r="K105" s="53"/>
      <c r="L105" s="9">
        <v>44286</v>
      </c>
      <c r="M105" s="14">
        <v>0.44140000000000001</v>
      </c>
      <c r="N105" s="55"/>
      <c r="P105" s="1"/>
      <c r="Q105" s="19"/>
      <c r="R105" s="19"/>
      <c r="S105" s="19"/>
      <c r="T105" s="19"/>
      <c r="U105" s="19"/>
      <c r="V105" s="29"/>
      <c r="W105" s="29"/>
      <c r="X105" s="29"/>
      <c r="Y105" s="29"/>
      <c r="Z105" s="29"/>
      <c r="AA105" s="29"/>
      <c r="AB105" s="29"/>
    </row>
    <row r="106" spans="1:28" ht="17.5" thickTop="1" x14ac:dyDescent="0.45">
      <c r="A106" s="47"/>
      <c r="B106" s="58" t="s">
        <v>74</v>
      </c>
      <c r="C106" s="10" t="s">
        <v>6</v>
      </c>
      <c r="D106" s="11">
        <v>6787</v>
      </c>
      <c r="E106" s="11">
        <v>26508</v>
      </c>
      <c r="F106" s="11">
        <f t="shared" si="9"/>
        <v>33295</v>
      </c>
      <c r="G106" s="15">
        <v>0.4793</v>
      </c>
      <c r="H106" s="52">
        <f>G107-G106</f>
        <v>1.8100000000000005E-2</v>
      </c>
      <c r="I106" s="11">
        <v>51717</v>
      </c>
      <c r="J106" s="24">
        <v>0.59460000000000002</v>
      </c>
      <c r="K106" s="52">
        <f>J107-J106</f>
        <v>-0.21550000000000002</v>
      </c>
      <c r="L106" s="11">
        <v>85313</v>
      </c>
      <c r="M106" s="15">
        <v>0.54269999999999996</v>
      </c>
      <c r="N106" s="54">
        <f>M107-M106</f>
        <v>-0.11049999999999999</v>
      </c>
      <c r="P106" s="1"/>
      <c r="Q106" s="1"/>
      <c r="V106" s="29"/>
      <c r="W106" s="29"/>
      <c r="X106" s="29"/>
      <c r="Y106" s="29"/>
      <c r="Z106" s="29"/>
      <c r="AA106" s="29"/>
      <c r="AB106" s="29"/>
    </row>
    <row r="107" spans="1:28" ht="17.5" thickBot="1" x14ac:dyDescent="0.5">
      <c r="A107" s="47"/>
      <c r="B107" s="59"/>
      <c r="C107" s="8" t="s">
        <v>7</v>
      </c>
      <c r="D107" s="9">
        <v>8827</v>
      </c>
      <c r="E107" s="9">
        <v>25725</v>
      </c>
      <c r="F107" s="9">
        <f t="shared" si="9"/>
        <v>34552</v>
      </c>
      <c r="G107" s="14">
        <v>0.49740000000000001</v>
      </c>
      <c r="H107" s="53"/>
      <c r="I107" s="9">
        <v>32968</v>
      </c>
      <c r="J107" s="23">
        <v>0.37909999999999999</v>
      </c>
      <c r="K107" s="53"/>
      <c r="L107" s="9">
        <v>67941</v>
      </c>
      <c r="M107" s="14">
        <v>0.43219999999999997</v>
      </c>
      <c r="N107" s="55"/>
      <c r="P107" s="1"/>
      <c r="Q107" s="1"/>
      <c r="V107" s="29"/>
      <c r="W107" s="29"/>
      <c r="X107" s="29"/>
      <c r="Y107" s="29"/>
      <c r="Z107" s="29"/>
      <c r="AA107" s="29"/>
      <c r="AB107" s="29"/>
    </row>
    <row r="108" spans="1:28" ht="17.5" thickTop="1" x14ac:dyDescent="0.45">
      <c r="A108" s="47"/>
      <c r="B108" s="58" t="s">
        <v>75</v>
      </c>
      <c r="C108" s="10" t="s">
        <v>6</v>
      </c>
      <c r="D108" s="11">
        <v>6202</v>
      </c>
      <c r="E108" s="11">
        <v>27309</v>
      </c>
      <c r="F108" s="11">
        <f t="shared" si="9"/>
        <v>33511</v>
      </c>
      <c r="G108" s="15">
        <f>F108/(F108+F109)</f>
        <v>0.47719473122107514</v>
      </c>
      <c r="H108" s="52">
        <f>G109-G108</f>
        <v>4.5610537557849717E-2</v>
      </c>
      <c r="I108" s="11">
        <v>50715</v>
      </c>
      <c r="J108" s="24">
        <f>I108/(I108+I109)</f>
        <v>0.60117354196301565</v>
      </c>
      <c r="K108" s="52">
        <f>J109-J108</f>
        <v>-0.20234708392603129</v>
      </c>
      <c r="L108" s="11">
        <v>84563</v>
      </c>
      <c r="M108" s="15">
        <f>L108/(L108+L109)</f>
        <v>0.54405491825954921</v>
      </c>
      <c r="N108" s="54">
        <f>M109-M108</f>
        <v>-8.8109836519098483E-2</v>
      </c>
      <c r="O108" s="1"/>
      <c r="P108" s="1"/>
      <c r="Q108" s="1"/>
    </row>
    <row r="109" spans="1:28" ht="17.5" thickBot="1" x14ac:dyDescent="0.5">
      <c r="A109" s="47"/>
      <c r="B109" s="59"/>
      <c r="C109" s="8" t="s">
        <v>7</v>
      </c>
      <c r="D109" s="9">
        <v>8245</v>
      </c>
      <c r="E109" s="9">
        <v>28469</v>
      </c>
      <c r="F109" s="9">
        <f t="shared" si="9"/>
        <v>36714</v>
      </c>
      <c r="G109" s="14">
        <f>F109/(F109+F108)</f>
        <v>0.52280526877892486</v>
      </c>
      <c r="H109" s="53"/>
      <c r="I109" s="9">
        <v>33645</v>
      </c>
      <c r="J109" s="23">
        <f>I109/(I109+I108)</f>
        <v>0.39882645803698435</v>
      </c>
      <c r="K109" s="53"/>
      <c r="L109" s="9">
        <v>70868</v>
      </c>
      <c r="M109" s="14">
        <f>L109/(L109+L108)</f>
        <v>0.45594508174045073</v>
      </c>
      <c r="N109" s="55"/>
      <c r="O109" s="1"/>
      <c r="P109" s="1"/>
      <c r="Q109" s="1"/>
    </row>
    <row r="110" spans="1:28" ht="17.5" thickTop="1" x14ac:dyDescent="0.45">
      <c r="A110" s="47"/>
      <c r="B110" s="65" t="s">
        <v>76</v>
      </c>
      <c r="C110" s="39" t="s">
        <v>6</v>
      </c>
      <c r="D110" s="40">
        <v>2863</v>
      </c>
      <c r="E110" s="40">
        <v>12313</v>
      </c>
      <c r="F110" s="40">
        <f t="shared" si="9"/>
        <v>15176</v>
      </c>
      <c r="G110" s="41">
        <v>0.41739999999999999</v>
      </c>
      <c r="H110" s="60">
        <f>G111-G110</f>
        <v>0.15580000000000005</v>
      </c>
      <c r="I110" s="40">
        <v>23548</v>
      </c>
      <c r="J110" s="41">
        <v>0.50609999999999999</v>
      </c>
      <c r="K110" s="60">
        <f>J111-J110</f>
        <v>-2.2699999999999998E-2</v>
      </c>
      <c r="L110" s="40">
        <v>38850</v>
      </c>
      <c r="M110" s="41">
        <v>0.46679999999999999</v>
      </c>
      <c r="N110" s="60">
        <f>M111-M110</f>
        <v>5.6400000000000006E-2</v>
      </c>
      <c r="O110" s="1"/>
      <c r="P110" s="1"/>
      <c r="Q110" s="1"/>
    </row>
    <row r="111" spans="1:28" ht="17.5" thickBot="1" x14ac:dyDescent="0.5">
      <c r="A111" s="47"/>
      <c r="B111" s="66"/>
      <c r="C111" s="42" t="s">
        <v>7</v>
      </c>
      <c r="D111" s="37">
        <v>4733</v>
      </c>
      <c r="E111" s="37">
        <v>16107</v>
      </c>
      <c r="F111" s="37">
        <f t="shared" si="9"/>
        <v>20840</v>
      </c>
      <c r="G111" s="38">
        <v>0.57320000000000004</v>
      </c>
      <c r="H111" s="61"/>
      <c r="I111" s="37">
        <v>22490</v>
      </c>
      <c r="J111" s="38">
        <v>0.4834</v>
      </c>
      <c r="K111" s="61"/>
      <c r="L111" s="37">
        <v>43548</v>
      </c>
      <c r="M111" s="38">
        <v>0.5232</v>
      </c>
      <c r="N111" s="61"/>
      <c r="O111" s="1"/>
      <c r="P111" s="1"/>
      <c r="Q111" s="1"/>
    </row>
    <row r="112" spans="1:28" ht="17.5" thickTop="1" x14ac:dyDescent="0.45">
      <c r="A112" s="47"/>
      <c r="B112" s="58" t="s">
        <v>77</v>
      </c>
      <c r="C112" s="10" t="s">
        <v>6</v>
      </c>
      <c r="D112" s="11">
        <v>3481</v>
      </c>
      <c r="E112" s="11">
        <v>11333</v>
      </c>
      <c r="F112" s="11">
        <f t="shared" si="9"/>
        <v>14814</v>
      </c>
      <c r="G112" s="15">
        <f>F112/(F112+F113)</f>
        <v>0.44627202892001805</v>
      </c>
      <c r="H112" s="52">
        <f>G113-G112</f>
        <v>0.1074559421599639</v>
      </c>
      <c r="I112" s="11">
        <v>29923</v>
      </c>
      <c r="J112" s="24">
        <f>I112/(I112+I113)</f>
        <v>0.57684003547056328</v>
      </c>
      <c r="K112" s="52">
        <f>J113-J112</f>
        <v>-0.15368007094112657</v>
      </c>
      <c r="L112" s="11">
        <v>44886</v>
      </c>
      <c r="M112" s="15">
        <f>L112/(L112+L113)</f>
        <v>0.52568952392106338</v>
      </c>
      <c r="N112" s="54">
        <f>M113-M112</f>
        <v>-5.1379047842126824E-2</v>
      </c>
      <c r="O112" s="1"/>
    </row>
    <row r="113" spans="1:18" ht="17.5" thickBot="1" x14ac:dyDescent="0.5">
      <c r="A113" s="47"/>
      <c r="B113" s="59"/>
      <c r="C113" s="8" t="s">
        <v>7</v>
      </c>
      <c r="D113" s="9">
        <v>4649</v>
      </c>
      <c r="E113" s="9">
        <v>13732</v>
      </c>
      <c r="F113" s="9">
        <f t="shared" si="9"/>
        <v>18381</v>
      </c>
      <c r="G113" s="14">
        <f>F113/(F113+F112)</f>
        <v>0.55372797107998195</v>
      </c>
      <c r="H113" s="53"/>
      <c r="I113" s="9">
        <v>21951</v>
      </c>
      <c r="J113" s="23">
        <f>I113/(I113+I112)</f>
        <v>0.42315996452943672</v>
      </c>
      <c r="K113" s="53"/>
      <c r="L113" s="9">
        <v>40499</v>
      </c>
      <c r="M113" s="14">
        <f>L113/(L113+L112)</f>
        <v>0.47431047607893656</v>
      </c>
      <c r="N113" s="55"/>
      <c r="O113" s="1"/>
    </row>
    <row r="114" spans="1:18" ht="17.5" thickTop="1" x14ac:dyDescent="0.45">
      <c r="A114" s="47"/>
      <c r="B114" s="58" t="s">
        <v>78</v>
      </c>
      <c r="C114" s="10" t="s">
        <v>6</v>
      </c>
      <c r="D114" s="11">
        <v>5322</v>
      </c>
      <c r="E114" s="11">
        <v>20663</v>
      </c>
      <c r="F114" s="11">
        <f t="shared" si="9"/>
        <v>25985</v>
      </c>
      <c r="G114" s="15">
        <v>0.4577</v>
      </c>
      <c r="H114" s="52">
        <f>G115-G114</f>
        <v>6.899999999999995E-2</v>
      </c>
      <c r="I114" s="11">
        <v>41979</v>
      </c>
      <c r="J114" s="24">
        <v>0.60319999999999996</v>
      </c>
      <c r="K114" s="52">
        <f>J115-J114</f>
        <v>-0.22409999999999997</v>
      </c>
      <c r="L114" s="11">
        <v>68267</v>
      </c>
      <c r="M114" s="15">
        <v>0.53700000000000003</v>
      </c>
      <c r="N114" s="54">
        <f>M115-M114</f>
        <v>-9.0800000000000047E-2</v>
      </c>
    </row>
    <row r="115" spans="1:18" ht="17.5" thickBot="1" x14ac:dyDescent="0.5">
      <c r="A115" s="47"/>
      <c r="B115" s="59"/>
      <c r="C115" s="8" t="s">
        <v>7</v>
      </c>
      <c r="D115" s="9">
        <v>6278</v>
      </c>
      <c r="E115" s="9">
        <v>23629</v>
      </c>
      <c r="F115" s="9">
        <f t="shared" si="9"/>
        <v>29907</v>
      </c>
      <c r="G115" s="14">
        <v>0.52669999999999995</v>
      </c>
      <c r="H115" s="53"/>
      <c r="I115" s="9">
        <v>26381</v>
      </c>
      <c r="J115" s="23">
        <v>0.37909999999999999</v>
      </c>
      <c r="K115" s="53"/>
      <c r="L115" s="9">
        <v>56717</v>
      </c>
      <c r="M115" s="14">
        <v>0.44619999999999999</v>
      </c>
      <c r="N115" s="55"/>
    </row>
    <row r="116" spans="1:18" ht="17.5" thickTop="1" x14ac:dyDescent="0.45">
      <c r="A116" s="47"/>
      <c r="B116" s="56" t="s">
        <v>79</v>
      </c>
      <c r="C116" s="10" t="s">
        <v>6</v>
      </c>
      <c r="D116" s="11">
        <v>4274</v>
      </c>
      <c r="E116" s="11">
        <v>16631</v>
      </c>
      <c r="F116" s="11">
        <f t="shared" si="9"/>
        <v>20905</v>
      </c>
      <c r="G116" s="15">
        <f>F116/(F116+F117)</f>
        <v>0.52058171676171028</v>
      </c>
      <c r="H116" s="52">
        <f>G117-G116</f>
        <v>-4.1163433523420556E-2</v>
      </c>
      <c r="I116" s="11">
        <v>33239</v>
      </c>
      <c r="J116" s="24">
        <f>I116/(I116+I117)</f>
        <v>0.63244919704695945</v>
      </c>
      <c r="K116" s="52">
        <f>J117-J116</f>
        <v>-0.26489839409391891</v>
      </c>
      <c r="L116" s="11">
        <v>54340</v>
      </c>
      <c r="M116" s="15">
        <f>L116/(L116+L117)</f>
        <v>0.58335390924413055</v>
      </c>
      <c r="N116" s="54">
        <f>M117-M116</f>
        <v>-0.16670781848826105</v>
      </c>
    </row>
    <row r="117" spans="1:18" ht="17.5" thickBot="1" x14ac:dyDescent="0.5">
      <c r="A117" s="47"/>
      <c r="B117" s="57"/>
      <c r="C117" s="8" t="s">
        <v>7</v>
      </c>
      <c r="D117" s="9">
        <v>4823</v>
      </c>
      <c r="E117" s="9">
        <v>14429</v>
      </c>
      <c r="F117" s="9">
        <f t="shared" si="9"/>
        <v>19252</v>
      </c>
      <c r="G117" s="14">
        <f>F117/(F117+F116)</f>
        <v>0.47941828323828972</v>
      </c>
      <c r="H117" s="53"/>
      <c r="I117" s="9">
        <v>19317</v>
      </c>
      <c r="J117" s="23">
        <f>I117/(I117+I116)</f>
        <v>0.36755080295304055</v>
      </c>
      <c r="K117" s="53"/>
      <c r="L117" s="9">
        <v>38811</v>
      </c>
      <c r="M117" s="14">
        <f>L117/(L117+L116)</f>
        <v>0.4166460907558695</v>
      </c>
      <c r="N117" s="55"/>
    </row>
    <row r="118" spans="1:18" ht="17.5" thickTop="1" x14ac:dyDescent="0.45">
      <c r="A118" s="47"/>
      <c r="B118" s="58" t="s">
        <v>80</v>
      </c>
      <c r="C118" s="10" t="s">
        <v>6</v>
      </c>
      <c r="D118" s="11">
        <v>3469</v>
      </c>
      <c r="E118" s="11">
        <v>13286</v>
      </c>
      <c r="F118" s="11">
        <f t="shared" si="9"/>
        <v>16755</v>
      </c>
      <c r="G118" s="15">
        <f>F118/(F118+F119)</f>
        <v>0.43485595639761226</v>
      </c>
      <c r="H118" s="52">
        <f>G119-G118</f>
        <v>0.13028808720477553</v>
      </c>
      <c r="I118" s="11">
        <v>27005</v>
      </c>
      <c r="J118" s="24">
        <f>I118/(I118+I119)</f>
        <v>0.56052555108140645</v>
      </c>
      <c r="K118" s="52">
        <f>J119-J118</f>
        <v>-0.1210511021628129</v>
      </c>
      <c r="L118" s="11">
        <v>43909</v>
      </c>
      <c r="M118" s="15">
        <f>L118/(L118+L119)</f>
        <v>0.50397704447632707</v>
      </c>
      <c r="N118" s="54">
        <f>M119-M118</f>
        <v>-7.9540889526542036E-3</v>
      </c>
      <c r="P118" s="1"/>
      <c r="Q118" s="1"/>
      <c r="R118" s="1"/>
    </row>
    <row r="119" spans="1:18" ht="17.5" thickBot="1" x14ac:dyDescent="0.5">
      <c r="A119" s="47"/>
      <c r="B119" s="59"/>
      <c r="C119" s="8" t="s">
        <v>7</v>
      </c>
      <c r="D119" s="9">
        <v>5158</v>
      </c>
      <c r="E119" s="9">
        <v>16617</v>
      </c>
      <c r="F119" s="9">
        <f t="shared" si="9"/>
        <v>21775</v>
      </c>
      <c r="G119" s="14">
        <f>F119/(F119+F118)</f>
        <v>0.56514404360238779</v>
      </c>
      <c r="H119" s="53"/>
      <c r="I119" s="9">
        <v>21173</v>
      </c>
      <c r="J119" s="23">
        <f>I119/(I119+I118)</f>
        <v>0.43947444891859355</v>
      </c>
      <c r="K119" s="53"/>
      <c r="L119" s="9">
        <v>43216</v>
      </c>
      <c r="M119" s="14">
        <f>L119/(L119+L118)</f>
        <v>0.49602295552367287</v>
      </c>
      <c r="N119" s="55"/>
      <c r="P119" s="1"/>
      <c r="Q119" s="1"/>
      <c r="R119" s="1"/>
    </row>
    <row r="120" spans="1:18" ht="17.5" thickTop="1" x14ac:dyDescent="0.45">
      <c r="A120" s="47"/>
      <c r="B120" s="58" t="s">
        <v>81</v>
      </c>
      <c r="C120" s="10" t="s">
        <v>6</v>
      </c>
      <c r="D120" s="11">
        <v>3382</v>
      </c>
      <c r="E120" s="11">
        <v>10787</v>
      </c>
      <c r="F120" s="11">
        <f t="shared" si="9"/>
        <v>14169</v>
      </c>
      <c r="G120" s="15">
        <v>0.41760000000000003</v>
      </c>
      <c r="H120" s="52">
        <f>G121-G120</f>
        <v>6.8199999999999983E-2</v>
      </c>
      <c r="I120" s="11">
        <v>32503</v>
      </c>
      <c r="J120" s="24">
        <v>0.65090000000000003</v>
      </c>
      <c r="K120" s="52">
        <f>J121-J120</f>
        <v>-0.26900000000000002</v>
      </c>
      <c r="L120" s="11">
        <v>46855</v>
      </c>
      <c r="M120" s="15">
        <v>0.55620000000000003</v>
      </c>
      <c r="N120" s="54">
        <f>M121-M120</f>
        <v>-0.13200000000000001</v>
      </c>
      <c r="P120" s="1"/>
      <c r="Q120" s="1"/>
      <c r="R120" s="1"/>
    </row>
    <row r="121" spans="1:18" ht="17.5" thickBot="1" x14ac:dyDescent="0.5">
      <c r="A121" s="47"/>
      <c r="B121" s="59"/>
      <c r="C121" s="8" t="s">
        <v>7</v>
      </c>
      <c r="D121" s="9">
        <v>3721</v>
      </c>
      <c r="E121" s="9">
        <v>12761</v>
      </c>
      <c r="F121" s="9">
        <f t="shared" si="9"/>
        <v>16482</v>
      </c>
      <c r="G121" s="14">
        <v>0.48580000000000001</v>
      </c>
      <c r="H121" s="53"/>
      <c r="I121" s="9">
        <v>19067</v>
      </c>
      <c r="J121" s="23">
        <v>0.38190000000000002</v>
      </c>
      <c r="K121" s="53"/>
      <c r="L121" s="9">
        <v>35735</v>
      </c>
      <c r="M121" s="14">
        <v>0.42420000000000002</v>
      </c>
      <c r="N121" s="55"/>
      <c r="P121" s="1"/>
      <c r="Q121" s="1"/>
      <c r="R121" s="1"/>
    </row>
    <row r="122" spans="1:18" ht="17.5" thickTop="1" x14ac:dyDescent="0.45">
      <c r="A122" s="47"/>
      <c r="B122" s="56" t="s">
        <v>82</v>
      </c>
      <c r="C122" s="10" t="s">
        <v>6</v>
      </c>
      <c r="D122" s="11">
        <v>5297</v>
      </c>
      <c r="E122" s="11">
        <v>25447</v>
      </c>
      <c r="F122" s="11">
        <f t="shared" si="9"/>
        <v>30744</v>
      </c>
      <c r="G122" s="15">
        <f>F122/(F122+F123)</f>
        <v>0.5033646053342502</v>
      </c>
      <c r="H122" s="52">
        <f>G123-G122</f>
        <v>-6.7292106685004072E-3</v>
      </c>
      <c r="I122" s="11">
        <v>42192</v>
      </c>
      <c r="J122" s="24">
        <f>I122/(I122+I123)</f>
        <v>0.62487226196294487</v>
      </c>
      <c r="K122" s="52">
        <f>J123-J122</f>
        <v>-0.24974452392588975</v>
      </c>
      <c r="L122" s="11">
        <v>73237</v>
      </c>
      <c r="M122" s="15">
        <f>L122/(L122+L123)</f>
        <v>0.56624941045485822</v>
      </c>
      <c r="N122" s="54">
        <f>M123-M122</f>
        <v>-0.13249882090971643</v>
      </c>
      <c r="P122" s="1"/>
      <c r="Q122" s="1"/>
      <c r="R122" s="1"/>
    </row>
    <row r="123" spans="1:18" ht="17.5" thickBot="1" x14ac:dyDescent="0.5">
      <c r="A123" s="47"/>
      <c r="B123" s="57"/>
      <c r="C123" s="8" t="s">
        <v>7</v>
      </c>
      <c r="D123" s="9">
        <v>6455</v>
      </c>
      <c r="E123" s="9">
        <v>23878</v>
      </c>
      <c r="F123" s="9">
        <f t="shared" si="9"/>
        <v>30333</v>
      </c>
      <c r="G123" s="14">
        <f>F123/(F123+F122)</f>
        <v>0.4966353946657498</v>
      </c>
      <c r="H123" s="53"/>
      <c r="I123" s="9">
        <v>25329</v>
      </c>
      <c r="J123" s="23">
        <f>I123/(I123+I122)</f>
        <v>0.37512773803705513</v>
      </c>
      <c r="K123" s="53"/>
      <c r="L123" s="9">
        <v>56100</v>
      </c>
      <c r="M123" s="14">
        <f>L123/(L123+L122)</f>
        <v>0.43375058954514178</v>
      </c>
      <c r="N123" s="55"/>
      <c r="P123" s="1"/>
      <c r="Q123" s="1"/>
      <c r="R123" s="1"/>
    </row>
    <row r="124" spans="1:18" ht="17.5" thickTop="1" x14ac:dyDescent="0.45">
      <c r="A124" s="47"/>
      <c r="B124" s="58" t="s">
        <v>83</v>
      </c>
      <c r="C124" s="10" t="s">
        <v>6</v>
      </c>
      <c r="D124" s="11">
        <v>4051</v>
      </c>
      <c r="E124" s="11">
        <v>11049</v>
      </c>
      <c r="F124" s="11">
        <f t="shared" si="9"/>
        <v>15100</v>
      </c>
      <c r="G124" s="15">
        <f>F124/(F124+F125)</f>
        <v>0.48582735433222868</v>
      </c>
      <c r="H124" s="52">
        <f>G125-G124</f>
        <v>2.8345291335542644E-2</v>
      </c>
      <c r="I124" s="11">
        <v>26863</v>
      </c>
      <c r="J124" s="24">
        <f>I124/(I124+I125)</f>
        <v>0.60547253589379491</v>
      </c>
      <c r="K124" s="52">
        <f>J125-J124</f>
        <v>-0.21094507178758987</v>
      </c>
      <c r="L124" s="11">
        <v>42108</v>
      </c>
      <c r="M124" s="15">
        <f>L124/(L124+L125)</f>
        <v>0.55585917389410322</v>
      </c>
      <c r="N124" s="54">
        <f>M125-M124</f>
        <v>-0.11171834778820644</v>
      </c>
      <c r="P124" s="1"/>
      <c r="Q124" s="1"/>
      <c r="R124" s="1"/>
    </row>
    <row r="125" spans="1:18" ht="17.5" thickBot="1" x14ac:dyDescent="0.5">
      <c r="A125" s="47"/>
      <c r="B125" s="59"/>
      <c r="C125" s="8" t="s">
        <v>7</v>
      </c>
      <c r="D125" s="9">
        <v>3903</v>
      </c>
      <c r="E125" s="9">
        <v>12078</v>
      </c>
      <c r="F125" s="9">
        <f t="shared" si="9"/>
        <v>15981</v>
      </c>
      <c r="G125" s="14">
        <f>F125/(F125+F124)</f>
        <v>0.51417264566777132</v>
      </c>
      <c r="H125" s="53"/>
      <c r="I125" s="9">
        <v>17504</v>
      </c>
      <c r="J125" s="23">
        <f>I125/(I125+I124)</f>
        <v>0.39452746410620504</v>
      </c>
      <c r="K125" s="53"/>
      <c r="L125" s="9">
        <v>33645</v>
      </c>
      <c r="M125" s="14">
        <f>L125/(L125+L124)</f>
        <v>0.44414082610589678</v>
      </c>
      <c r="N125" s="55"/>
      <c r="P125" s="1"/>
      <c r="Q125" s="1"/>
      <c r="R125" s="1"/>
    </row>
    <row r="126" spans="1:18" ht="17.5" thickTop="1" x14ac:dyDescent="0.45">
      <c r="A126" s="47"/>
      <c r="B126" s="58" t="s">
        <v>84</v>
      </c>
      <c r="C126" s="10" t="s">
        <v>6</v>
      </c>
      <c r="D126" s="11"/>
      <c r="E126" s="11"/>
      <c r="F126" s="11"/>
      <c r="G126" s="15"/>
      <c r="H126" s="52"/>
      <c r="I126" s="11"/>
      <c r="J126" s="24"/>
      <c r="K126" s="52"/>
      <c r="L126" s="11"/>
      <c r="M126" s="15"/>
      <c r="N126" s="54"/>
      <c r="O126" t="s">
        <v>239</v>
      </c>
      <c r="P126" s="1"/>
      <c r="Q126" s="1"/>
      <c r="R126" s="1"/>
    </row>
    <row r="127" spans="1:18" ht="17.5" thickBot="1" x14ac:dyDescent="0.5">
      <c r="A127" s="47"/>
      <c r="B127" s="59"/>
      <c r="C127" s="8" t="s">
        <v>7</v>
      </c>
      <c r="D127" s="9"/>
      <c r="E127" s="9"/>
      <c r="F127" s="9"/>
      <c r="G127" s="14"/>
      <c r="H127" s="53"/>
      <c r="I127" s="9"/>
      <c r="J127" s="23"/>
      <c r="K127" s="53"/>
      <c r="L127" s="9"/>
      <c r="M127" s="14"/>
      <c r="N127" s="55"/>
      <c r="P127" s="1"/>
      <c r="Q127" s="1"/>
      <c r="R127" s="1"/>
    </row>
    <row r="128" spans="1:18" ht="17.5" thickTop="1" x14ac:dyDescent="0.45">
      <c r="A128" s="47"/>
      <c r="B128" s="58" t="s">
        <v>85</v>
      </c>
      <c r="C128" s="10" t="s">
        <v>6</v>
      </c>
      <c r="D128" s="11">
        <v>4241</v>
      </c>
      <c r="E128" s="11">
        <v>14905</v>
      </c>
      <c r="F128" s="11">
        <f t="shared" ref="F128:F137" si="10">SUM(D128:E128)</f>
        <v>19146</v>
      </c>
      <c r="G128" s="15">
        <v>0.4239</v>
      </c>
      <c r="H128" s="52">
        <f>G129-G128</f>
        <v>7.3900000000000021E-2</v>
      </c>
      <c r="I128" s="11">
        <v>31737</v>
      </c>
      <c r="J128" s="24">
        <v>0.56930000000000003</v>
      </c>
      <c r="K128" s="52">
        <f>J129-J128</f>
        <v>-0.2414</v>
      </c>
      <c r="L128" s="11">
        <v>51092</v>
      </c>
      <c r="M128" s="15">
        <v>0.50329999999999997</v>
      </c>
      <c r="N128" s="54">
        <f>M129-M128</f>
        <v>-9.8499999999999976E-2</v>
      </c>
      <c r="P128" s="1"/>
      <c r="Q128" s="1"/>
      <c r="R128" s="1"/>
    </row>
    <row r="129" spans="1:15" ht="17.5" thickBot="1" x14ac:dyDescent="0.5">
      <c r="A129" s="47"/>
      <c r="B129" s="59"/>
      <c r="C129" s="8" t="s">
        <v>7</v>
      </c>
      <c r="D129" s="9">
        <v>5783</v>
      </c>
      <c r="E129" s="9">
        <v>16704</v>
      </c>
      <c r="F129" s="9">
        <f t="shared" si="10"/>
        <v>22487</v>
      </c>
      <c r="G129" s="14">
        <v>0.49780000000000002</v>
      </c>
      <c r="H129" s="53"/>
      <c r="I129" s="9">
        <v>18278</v>
      </c>
      <c r="J129" s="23">
        <v>0.32790000000000002</v>
      </c>
      <c r="K129" s="53"/>
      <c r="L129" s="9">
        <v>41088</v>
      </c>
      <c r="M129" s="14">
        <v>0.40479999999999999</v>
      </c>
      <c r="N129" s="55"/>
    </row>
    <row r="130" spans="1:15" ht="17.5" thickTop="1" x14ac:dyDescent="0.45">
      <c r="A130" s="47"/>
      <c r="B130" s="58" t="s">
        <v>86</v>
      </c>
      <c r="C130" s="10" t="s">
        <v>6</v>
      </c>
      <c r="D130" s="11">
        <v>4118</v>
      </c>
      <c r="E130" s="11">
        <v>20713</v>
      </c>
      <c r="F130" s="11">
        <f t="shared" si="10"/>
        <v>24831</v>
      </c>
      <c r="G130" s="15">
        <f>F130/(F130+F131)</f>
        <v>0.48124890982033841</v>
      </c>
      <c r="H130" s="52">
        <f>G131-G130</f>
        <v>3.7502180359323178E-2</v>
      </c>
      <c r="I130" s="11">
        <v>37939</v>
      </c>
      <c r="J130" s="24">
        <f>I130/(I130+I131)</f>
        <v>0.56176797216258234</v>
      </c>
      <c r="K130" s="52">
        <f>J131-J130</f>
        <v>-0.12353594432516468</v>
      </c>
      <c r="L130" s="11">
        <v>62975</v>
      </c>
      <c r="M130" s="15">
        <f>L130/(L130+L131)</f>
        <v>0.52639717805974895</v>
      </c>
      <c r="N130" s="54">
        <f>M131-M130</f>
        <v>-5.2794356119497843E-2</v>
      </c>
    </row>
    <row r="131" spans="1:15" ht="17.5" thickBot="1" x14ac:dyDescent="0.5">
      <c r="A131" s="47"/>
      <c r="B131" s="59"/>
      <c r="C131" s="8" t="s">
        <v>7</v>
      </c>
      <c r="D131" s="9">
        <v>5752</v>
      </c>
      <c r="E131" s="9">
        <v>21014</v>
      </c>
      <c r="F131" s="9">
        <f t="shared" si="10"/>
        <v>26766</v>
      </c>
      <c r="G131" s="14">
        <f>F131/(F131+F130)</f>
        <v>0.51875109017966159</v>
      </c>
      <c r="H131" s="53"/>
      <c r="I131" s="9">
        <v>29596</v>
      </c>
      <c r="J131" s="23">
        <f>I131/(I131+I130)</f>
        <v>0.43823202783741766</v>
      </c>
      <c r="K131" s="53"/>
      <c r="L131" s="9">
        <v>56659</v>
      </c>
      <c r="M131" s="14">
        <f>L131/(L131+L130)</f>
        <v>0.47360282194025111</v>
      </c>
      <c r="N131" s="55"/>
    </row>
    <row r="132" spans="1:15" ht="17.5" thickTop="1" x14ac:dyDescent="0.45">
      <c r="A132" s="47"/>
      <c r="B132" s="58" t="s">
        <v>87</v>
      </c>
      <c r="C132" s="10" t="s">
        <v>6</v>
      </c>
      <c r="D132" s="11">
        <v>4657</v>
      </c>
      <c r="E132" s="11">
        <v>13304</v>
      </c>
      <c r="F132" s="11">
        <f t="shared" si="10"/>
        <v>17961</v>
      </c>
      <c r="G132" s="15">
        <f>F132/(F132+F133)</f>
        <v>0.46509399761769121</v>
      </c>
      <c r="H132" s="52">
        <f>G133-G132</f>
        <v>6.9812004764617575E-2</v>
      </c>
      <c r="I132" s="11">
        <v>31011</v>
      </c>
      <c r="J132" s="24">
        <f>I132/(I132+I133)</f>
        <v>0.56440076440076437</v>
      </c>
      <c r="K132" s="52">
        <f>J133-J132</f>
        <v>-0.12880152880152879</v>
      </c>
      <c r="L132" s="11">
        <v>49248</v>
      </c>
      <c r="M132" s="15">
        <f>L132/(L132+L133)</f>
        <v>0.52335812964930928</v>
      </c>
      <c r="N132" s="54">
        <f>M133-M132</f>
        <v>-4.6716259298618501E-2</v>
      </c>
    </row>
    <row r="133" spans="1:15" ht="17.5" thickBot="1" x14ac:dyDescent="0.5">
      <c r="A133" s="48"/>
      <c r="B133" s="59"/>
      <c r="C133" s="8" t="s">
        <v>7</v>
      </c>
      <c r="D133" s="9">
        <v>5248</v>
      </c>
      <c r="E133" s="9">
        <v>15409</v>
      </c>
      <c r="F133" s="9">
        <f t="shared" si="10"/>
        <v>20657</v>
      </c>
      <c r="G133" s="14">
        <f>F133/(F133+F132)</f>
        <v>0.53490600238230879</v>
      </c>
      <c r="H133" s="53"/>
      <c r="I133" s="9">
        <v>23934</v>
      </c>
      <c r="J133" s="23">
        <f>I133/(I133+I132)</f>
        <v>0.43559923559923558</v>
      </c>
      <c r="K133" s="53"/>
      <c r="L133" s="9">
        <v>44852</v>
      </c>
      <c r="M133" s="14">
        <f>L133/(L133+L132)</f>
        <v>0.47664187035069078</v>
      </c>
      <c r="N133" s="55"/>
    </row>
    <row r="134" spans="1:15" ht="17.5" thickTop="1" x14ac:dyDescent="0.45">
      <c r="A134" s="46" t="s">
        <v>88</v>
      </c>
      <c r="B134" s="56" t="s">
        <v>89</v>
      </c>
      <c r="C134" s="10" t="s">
        <v>6</v>
      </c>
      <c r="D134" s="11">
        <v>5363</v>
      </c>
      <c r="E134" s="11">
        <v>22348</v>
      </c>
      <c r="F134" s="11">
        <f t="shared" si="10"/>
        <v>27711</v>
      </c>
      <c r="G134" s="15">
        <v>0.52</v>
      </c>
      <c r="H134" s="52">
        <f>G135-G134</f>
        <v>-0.19059999999999999</v>
      </c>
      <c r="I134" s="11">
        <v>43583</v>
      </c>
      <c r="J134" s="24">
        <v>0.61219999999999997</v>
      </c>
      <c r="K134" s="52">
        <f>J135-J134</f>
        <v>-0.3891</v>
      </c>
      <c r="L134" s="11">
        <v>72380</v>
      </c>
      <c r="M134" s="15">
        <v>0.57920000000000005</v>
      </c>
      <c r="N134" s="54">
        <f>M135-M134</f>
        <v>-0.31690000000000007</v>
      </c>
    </row>
    <row r="135" spans="1:15" ht="17.5" thickBot="1" x14ac:dyDescent="0.5">
      <c r="A135" s="47"/>
      <c r="B135" s="57"/>
      <c r="C135" s="8" t="s">
        <v>7</v>
      </c>
      <c r="D135" s="9">
        <v>5653</v>
      </c>
      <c r="E135" s="9">
        <v>11900</v>
      </c>
      <c r="F135" s="9">
        <f t="shared" si="10"/>
        <v>17553</v>
      </c>
      <c r="G135" s="14">
        <v>0.32940000000000003</v>
      </c>
      <c r="H135" s="53"/>
      <c r="I135" s="9">
        <v>15883</v>
      </c>
      <c r="J135" s="23">
        <v>0.22309999999999999</v>
      </c>
      <c r="K135" s="53"/>
      <c r="L135" s="9">
        <v>32783</v>
      </c>
      <c r="M135" s="14">
        <v>0.26229999999999998</v>
      </c>
      <c r="N135" s="55"/>
    </row>
    <row r="136" spans="1:15" ht="17.5" thickTop="1" x14ac:dyDescent="0.45">
      <c r="A136" s="47"/>
      <c r="B136" s="56" t="s">
        <v>130</v>
      </c>
      <c r="C136" s="10" t="s">
        <v>6</v>
      </c>
      <c r="D136" s="11">
        <v>5565</v>
      </c>
      <c r="E136" s="11">
        <v>21626</v>
      </c>
      <c r="F136" s="11">
        <f t="shared" si="10"/>
        <v>27191</v>
      </c>
      <c r="G136" s="15">
        <f>F136/(F136+F137)</f>
        <v>0.69835114033285395</v>
      </c>
      <c r="H136" s="52">
        <f>G137-G136</f>
        <v>-0.39670228066570784</v>
      </c>
      <c r="I136" s="11">
        <v>41180</v>
      </c>
      <c r="J136" s="24">
        <f>I136/(I136+I137)</f>
        <v>0.78039721043056398</v>
      </c>
      <c r="K136" s="52">
        <f>J137-J136</f>
        <v>-0.56079442086112796</v>
      </c>
      <c r="L136" s="11">
        <v>68563</v>
      </c>
      <c r="M136" s="15">
        <f>L136/(L136+L137)</f>
        <v>0.74486946885830063</v>
      </c>
      <c r="N136" s="54">
        <f>M137-M136</f>
        <v>-0.48973893771660126</v>
      </c>
    </row>
    <row r="137" spans="1:15" ht="17.5" thickBot="1" x14ac:dyDescent="0.5">
      <c r="A137" s="47"/>
      <c r="B137" s="57"/>
      <c r="C137" s="8" t="s">
        <v>7</v>
      </c>
      <c r="D137" s="9">
        <v>3240</v>
      </c>
      <c r="E137" s="9">
        <v>8505</v>
      </c>
      <c r="F137" s="9">
        <f t="shared" si="10"/>
        <v>11745</v>
      </c>
      <c r="G137" s="14">
        <f>F137/(F137+F136)</f>
        <v>0.30164885966714611</v>
      </c>
      <c r="H137" s="53"/>
      <c r="I137" s="9">
        <v>11588</v>
      </c>
      <c r="J137" s="23">
        <f>I137/(I137+I136)</f>
        <v>0.21960278956943602</v>
      </c>
      <c r="K137" s="53"/>
      <c r="L137" s="9">
        <v>23484</v>
      </c>
      <c r="M137" s="14">
        <f>L137/(L137+L136)</f>
        <v>0.25513053114169937</v>
      </c>
      <c r="N137" s="55"/>
    </row>
    <row r="138" spans="1:15" ht="17.5" thickTop="1" x14ac:dyDescent="0.45">
      <c r="A138" s="47"/>
      <c r="B138" s="58" t="s">
        <v>90</v>
      </c>
      <c r="C138" s="10" t="s">
        <v>6</v>
      </c>
      <c r="D138" s="11"/>
      <c r="E138" s="11"/>
      <c r="F138" s="11"/>
      <c r="G138" s="15"/>
      <c r="H138" s="52"/>
      <c r="I138" s="11"/>
      <c r="J138" s="24"/>
      <c r="K138" s="52"/>
      <c r="L138" s="11"/>
      <c r="M138" s="15"/>
      <c r="N138" s="54"/>
      <c r="O138" t="s">
        <v>239</v>
      </c>
    </row>
    <row r="139" spans="1:15" ht="17.5" thickBot="1" x14ac:dyDescent="0.5">
      <c r="A139" s="47"/>
      <c r="B139" s="59"/>
      <c r="C139" s="8" t="s">
        <v>7</v>
      </c>
      <c r="D139" s="9"/>
      <c r="E139" s="9"/>
      <c r="F139" s="9"/>
      <c r="G139" s="14"/>
      <c r="H139" s="53"/>
      <c r="I139" s="9"/>
      <c r="J139" s="23"/>
      <c r="K139" s="53"/>
      <c r="L139" s="9"/>
      <c r="M139" s="14"/>
      <c r="N139" s="55"/>
    </row>
    <row r="140" spans="1:15" ht="17.5" thickTop="1" x14ac:dyDescent="0.45">
      <c r="A140" s="47"/>
      <c r="B140" s="58" t="s">
        <v>91</v>
      </c>
      <c r="C140" s="10" t="s">
        <v>6</v>
      </c>
      <c r="D140" s="11"/>
      <c r="E140" s="11"/>
      <c r="F140" s="11"/>
      <c r="G140" s="15"/>
      <c r="H140" s="52"/>
      <c r="I140" s="11"/>
      <c r="J140" s="24"/>
      <c r="K140" s="52"/>
      <c r="L140" s="11"/>
      <c r="M140" s="15"/>
      <c r="N140" s="54"/>
      <c r="O140" t="s">
        <v>239</v>
      </c>
    </row>
    <row r="141" spans="1:15" ht="17.5" thickBot="1" x14ac:dyDescent="0.5">
      <c r="A141" s="47"/>
      <c r="B141" s="59"/>
      <c r="C141" s="8" t="s">
        <v>7</v>
      </c>
      <c r="D141" s="9"/>
      <c r="E141" s="9"/>
      <c r="F141" s="9"/>
      <c r="G141" s="14"/>
      <c r="H141" s="53"/>
      <c r="I141" s="9"/>
      <c r="J141" s="23"/>
      <c r="K141" s="53"/>
      <c r="L141" s="9"/>
      <c r="M141" s="14"/>
      <c r="N141" s="55"/>
    </row>
    <row r="142" spans="1:15" ht="17.5" thickTop="1" x14ac:dyDescent="0.45">
      <c r="A142" s="47"/>
      <c r="B142" s="56" t="s">
        <v>92</v>
      </c>
      <c r="C142" s="10" t="s">
        <v>6</v>
      </c>
      <c r="D142" s="11">
        <v>5131</v>
      </c>
      <c r="E142" s="11">
        <v>21736</v>
      </c>
      <c r="F142" s="11">
        <f t="shared" ref="F142:F147" si="11">SUM(D142:E142)</f>
        <v>26867</v>
      </c>
      <c r="G142" s="15">
        <v>0.66500000000000004</v>
      </c>
      <c r="H142" s="52">
        <f>G143-G142</f>
        <v>-0.34190000000000004</v>
      </c>
      <c r="I142" s="11">
        <v>41711</v>
      </c>
      <c r="J142" s="24">
        <v>0.75029999999999997</v>
      </c>
      <c r="K142" s="52">
        <f>J143-J142</f>
        <v>-0.51519999999999999</v>
      </c>
      <c r="L142" s="11">
        <v>68742</v>
      </c>
      <c r="M142" s="15">
        <v>0.71379999999999999</v>
      </c>
      <c r="N142" s="54">
        <f>M143-M142</f>
        <v>-0.44109999999999999</v>
      </c>
    </row>
    <row r="143" spans="1:15" ht="17.5" thickBot="1" x14ac:dyDescent="0.5">
      <c r="A143" s="47"/>
      <c r="B143" s="57"/>
      <c r="C143" s="8" t="s">
        <v>7</v>
      </c>
      <c r="D143" s="9">
        <v>3221</v>
      </c>
      <c r="E143" s="9">
        <v>9834</v>
      </c>
      <c r="F143" s="9">
        <f t="shared" si="11"/>
        <v>13055</v>
      </c>
      <c r="G143" s="14">
        <v>0.3231</v>
      </c>
      <c r="H143" s="53"/>
      <c r="I143" s="9">
        <v>13069</v>
      </c>
      <c r="J143" s="23">
        <v>0.2351</v>
      </c>
      <c r="K143" s="53"/>
      <c r="L143" s="9">
        <v>26266</v>
      </c>
      <c r="M143" s="14">
        <v>0.2727</v>
      </c>
      <c r="N143" s="55"/>
    </row>
    <row r="144" spans="1:15" ht="17.5" thickTop="1" x14ac:dyDescent="0.45">
      <c r="A144" s="47"/>
      <c r="B144" s="56" t="s">
        <v>93</v>
      </c>
      <c r="C144" s="10" t="s">
        <v>6</v>
      </c>
      <c r="D144" s="11">
        <v>6869</v>
      </c>
      <c r="E144" s="11">
        <v>22927</v>
      </c>
      <c r="F144" s="11">
        <f t="shared" si="11"/>
        <v>29796</v>
      </c>
      <c r="G144" s="15">
        <v>0.62460000000000004</v>
      </c>
      <c r="H144" s="52">
        <f>G145-G144</f>
        <v>-0.31560000000000005</v>
      </c>
      <c r="I144" s="11">
        <v>57315</v>
      </c>
      <c r="J144" s="24">
        <v>0.71140000000000003</v>
      </c>
      <c r="K144" s="52">
        <f>J145-J144</f>
        <v>-0.48930000000000007</v>
      </c>
      <c r="L144" s="11">
        <v>87356</v>
      </c>
      <c r="M144" s="15">
        <v>0.67859999999999998</v>
      </c>
      <c r="N144" s="54">
        <f>M145-M144</f>
        <v>-0.42379999999999995</v>
      </c>
    </row>
    <row r="145" spans="1:15" ht="17.5" thickBot="1" x14ac:dyDescent="0.5">
      <c r="A145" s="47"/>
      <c r="B145" s="57"/>
      <c r="C145" s="8" t="s">
        <v>7</v>
      </c>
      <c r="D145" s="9">
        <v>3987</v>
      </c>
      <c r="E145" s="9">
        <v>10751</v>
      </c>
      <c r="F145" s="9">
        <f t="shared" si="11"/>
        <v>14738</v>
      </c>
      <c r="G145" s="14">
        <v>0.309</v>
      </c>
      <c r="H145" s="53"/>
      <c r="I145" s="9">
        <v>17895</v>
      </c>
      <c r="J145" s="23">
        <v>0.22209999999999999</v>
      </c>
      <c r="K145" s="53"/>
      <c r="L145" s="9">
        <v>32797</v>
      </c>
      <c r="M145" s="14">
        <v>0.25480000000000003</v>
      </c>
      <c r="N145" s="55"/>
    </row>
    <row r="146" spans="1:15" ht="17.5" thickTop="1" x14ac:dyDescent="0.45">
      <c r="A146" s="47"/>
      <c r="B146" s="56" t="s">
        <v>101</v>
      </c>
      <c r="C146" s="10" t="s">
        <v>6</v>
      </c>
      <c r="D146" s="11">
        <v>9327</v>
      </c>
      <c r="E146" s="11">
        <v>25324</v>
      </c>
      <c r="F146" s="11">
        <f t="shared" si="11"/>
        <v>34651</v>
      </c>
      <c r="G146" s="15">
        <v>0.60129999999999995</v>
      </c>
      <c r="H146" s="52">
        <f>G147-G146</f>
        <v>-0.24189999999999995</v>
      </c>
      <c r="I146" s="11">
        <v>54529</v>
      </c>
      <c r="J146" s="24">
        <v>0.69810000000000005</v>
      </c>
      <c r="K146" s="52">
        <f>J147-J146</f>
        <v>-0.43710000000000004</v>
      </c>
      <c r="L146" s="11">
        <v>89440</v>
      </c>
      <c r="M146" s="15">
        <v>0.65639999999999998</v>
      </c>
      <c r="N146" s="54">
        <f>M147-M146</f>
        <v>-0.35309999999999997</v>
      </c>
    </row>
    <row r="147" spans="1:15" ht="17.5" thickBot="1" x14ac:dyDescent="0.5">
      <c r="A147" s="47"/>
      <c r="B147" s="57"/>
      <c r="C147" s="8" t="s">
        <v>7</v>
      </c>
      <c r="D147" s="9">
        <v>5863</v>
      </c>
      <c r="E147" s="9">
        <v>14850</v>
      </c>
      <c r="F147" s="9">
        <f t="shared" si="11"/>
        <v>20713</v>
      </c>
      <c r="G147" s="14">
        <v>0.3594</v>
      </c>
      <c r="H147" s="53"/>
      <c r="I147" s="9">
        <v>20388</v>
      </c>
      <c r="J147" s="23">
        <v>0.26100000000000001</v>
      </c>
      <c r="K147" s="53"/>
      <c r="L147" s="9">
        <v>41332</v>
      </c>
      <c r="M147" s="14">
        <v>0.30330000000000001</v>
      </c>
      <c r="N147" s="55"/>
    </row>
    <row r="148" spans="1:15" ht="17.5" thickTop="1" x14ac:dyDescent="0.45">
      <c r="A148" s="47"/>
      <c r="B148" s="58" t="s">
        <v>102</v>
      </c>
      <c r="C148" s="10" t="s">
        <v>6</v>
      </c>
      <c r="D148" s="11"/>
      <c r="E148" s="11"/>
      <c r="F148" s="11"/>
      <c r="G148" s="15"/>
      <c r="H148" s="52"/>
      <c r="I148" s="11"/>
      <c r="J148" s="24"/>
      <c r="K148" s="52"/>
      <c r="L148" s="11"/>
      <c r="M148" s="15"/>
      <c r="N148" s="54"/>
      <c r="O148" t="s">
        <v>239</v>
      </c>
    </row>
    <row r="149" spans="1:15" ht="17.5" thickBot="1" x14ac:dyDescent="0.5">
      <c r="A149" s="47"/>
      <c r="B149" s="59"/>
      <c r="C149" s="8" t="s">
        <v>7</v>
      </c>
      <c r="D149" s="9"/>
      <c r="E149" s="9"/>
      <c r="F149" s="9"/>
      <c r="G149" s="14"/>
      <c r="H149" s="53"/>
      <c r="I149" s="9"/>
      <c r="J149" s="23"/>
      <c r="K149" s="53"/>
      <c r="L149" s="9"/>
      <c r="M149" s="14"/>
      <c r="N149" s="55"/>
    </row>
    <row r="150" spans="1:15" ht="17.5" thickTop="1" x14ac:dyDescent="0.45">
      <c r="A150" s="47"/>
      <c r="B150" s="56" t="s">
        <v>103</v>
      </c>
      <c r="C150" s="10" t="s">
        <v>6</v>
      </c>
      <c r="D150" s="11">
        <v>4848</v>
      </c>
      <c r="E150" s="11">
        <v>15721</v>
      </c>
      <c r="F150" s="11">
        <f>SUM(D150:E150)</f>
        <v>20569</v>
      </c>
      <c r="G150" s="15">
        <f>F150/(F150+F151)</f>
        <v>0.66343052509353628</v>
      </c>
      <c r="H150" s="52">
        <f>G151-G150</f>
        <v>-0.32686105018707262</v>
      </c>
      <c r="I150" s="11">
        <v>39361</v>
      </c>
      <c r="J150" s="24">
        <f>I150/(I150+I151)</f>
        <v>0.74435976474592935</v>
      </c>
      <c r="K150" s="52">
        <f>J151-J150</f>
        <v>-0.48871952949185876</v>
      </c>
      <c r="L150" s="11">
        <v>60070</v>
      </c>
      <c r="M150" s="15">
        <f>L150/(L150+L151)</f>
        <v>0.71394613610972446</v>
      </c>
      <c r="N150" s="54">
        <f>M151-M150</f>
        <v>-0.42789227221944898</v>
      </c>
    </row>
    <row r="151" spans="1:15" ht="17.5" thickBot="1" x14ac:dyDescent="0.5">
      <c r="A151" s="47"/>
      <c r="B151" s="57"/>
      <c r="C151" s="8" t="s">
        <v>7</v>
      </c>
      <c r="D151" s="9">
        <v>2987</v>
      </c>
      <c r="E151" s="9">
        <v>7448</v>
      </c>
      <c r="F151" s="9">
        <f>SUM(D151:E151)</f>
        <v>10435</v>
      </c>
      <c r="G151" s="14">
        <f>F151/(F151+F150)</f>
        <v>0.33656947490646366</v>
      </c>
      <c r="H151" s="53"/>
      <c r="I151" s="9">
        <v>13518</v>
      </c>
      <c r="J151" s="23">
        <f>I151/(I151+I150)</f>
        <v>0.25564023525407059</v>
      </c>
      <c r="K151" s="53"/>
      <c r="L151" s="9">
        <v>24068</v>
      </c>
      <c r="M151" s="14">
        <f>L151/(L151+L150)</f>
        <v>0.28605386389027548</v>
      </c>
      <c r="N151" s="55"/>
    </row>
    <row r="152" spans="1:15" ht="17.5" thickTop="1" x14ac:dyDescent="0.45">
      <c r="A152" s="47"/>
      <c r="B152" s="56" t="s">
        <v>104</v>
      </c>
      <c r="C152" s="10" t="s">
        <v>6</v>
      </c>
      <c r="D152" s="11">
        <v>7533</v>
      </c>
      <c r="E152" s="11">
        <v>24499</v>
      </c>
      <c r="F152" s="11">
        <f>SUM(D152:E152)</f>
        <v>32032</v>
      </c>
      <c r="G152" s="15">
        <f>F152/(F152+F153)</f>
        <v>0.67287049679655497</v>
      </c>
      <c r="H152" s="52">
        <f>G153-G152</f>
        <v>-0.34574099359310995</v>
      </c>
      <c r="I152" s="11">
        <v>60740</v>
      </c>
      <c r="J152" s="24">
        <f>I152/(I152+I153)</f>
        <v>0.75655477361898238</v>
      </c>
      <c r="K152" s="52">
        <f>J153-J152</f>
        <v>-0.51310954723796476</v>
      </c>
      <c r="L152" s="11">
        <v>93003</v>
      </c>
      <c r="M152" s="15">
        <f>L152/(L152+L153)</f>
        <v>0.72479659590386236</v>
      </c>
      <c r="N152" s="54">
        <f>M153-M152</f>
        <v>-0.44959319180772472</v>
      </c>
    </row>
    <row r="153" spans="1:15" ht="17.5" thickBot="1" x14ac:dyDescent="0.5">
      <c r="A153" s="47"/>
      <c r="B153" s="57"/>
      <c r="C153" s="8" t="s">
        <v>7</v>
      </c>
      <c r="D153" s="9">
        <v>4395</v>
      </c>
      <c r="E153" s="9">
        <v>11178</v>
      </c>
      <c r="F153" s="9">
        <f>SUM(D153:E153)</f>
        <v>15573</v>
      </c>
      <c r="G153" s="14">
        <f>F153/(F153+F152)</f>
        <v>0.32712950320344503</v>
      </c>
      <c r="H153" s="53"/>
      <c r="I153" s="9">
        <v>19545</v>
      </c>
      <c r="J153" s="23">
        <f>I153/(I153+I152)</f>
        <v>0.24344522638101762</v>
      </c>
      <c r="K153" s="53"/>
      <c r="L153" s="9">
        <v>35313</v>
      </c>
      <c r="M153" s="14">
        <f>L153/(L153+L152)</f>
        <v>0.27520340409613764</v>
      </c>
      <c r="N153" s="55"/>
    </row>
    <row r="154" spans="1:15" ht="17.5" thickTop="1" x14ac:dyDescent="0.45">
      <c r="A154" s="47"/>
      <c r="B154" s="58" t="s">
        <v>105</v>
      </c>
      <c r="C154" s="10" t="s">
        <v>6</v>
      </c>
      <c r="D154" s="11"/>
      <c r="E154" s="11"/>
      <c r="F154" s="11"/>
      <c r="G154" s="15"/>
      <c r="H154" s="52"/>
      <c r="I154" s="11"/>
      <c r="J154" s="24"/>
      <c r="K154" s="52"/>
      <c r="L154" s="11"/>
      <c r="M154" s="15"/>
      <c r="N154" s="54"/>
      <c r="O154" t="s">
        <v>239</v>
      </c>
    </row>
    <row r="155" spans="1:15" ht="17.5" thickBot="1" x14ac:dyDescent="0.5">
      <c r="A155" s="47"/>
      <c r="B155" s="59"/>
      <c r="C155" s="8" t="s">
        <v>7</v>
      </c>
      <c r="D155" s="9"/>
      <c r="E155" s="9"/>
      <c r="F155" s="9"/>
      <c r="G155" s="14"/>
      <c r="H155" s="53"/>
      <c r="I155" s="9"/>
      <c r="J155" s="23"/>
      <c r="K155" s="53"/>
      <c r="L155" s="9"/>
      <c r="M155" s="14"/>
      <c r="N155" s="55"/>
    </row>
    <row r="156" spans="1:15" ht="17.5" thickTop="1" x14ac:dyDescent="0.45">
      <c r="A156" s="47"/>
      <c r="B156" s="56" t="s">
        <v>94</v>
      </c>
      <c r="C156" s="10" t="s">
        <v>6</v>
      </c>
      <c r="D156" s="11">
        <v>9064</v>
      </c>
      <c r="E156" s="11">
        <v>25050</v>
      </c>
      <c r="F156" s="11">
        <f t="shared" ref="F156:F165" si="12">SUM(D156:E156)</f>
        <v>34114</v>
      </c>
      <c r="G156" s="15">
        <f>F156/(F156+F157)</f>
        <v>0.7008669926449439</v>
      </c>
      <c r="H156" s="52">
        <f>G157-G156</f>
        <v>-0.4017339852898878</v>
      </c>
      <c r="I156" s="11">
        <v>66140</v>
      </c>
      <c r="J156" s="24">
        <f>I156/(I156+I157)</f>
        <v>0.78436488265360582</v>
      </c>
      <c r="K156" s="52">
        <f>J157-J156</f>
        <v>-0.56872976530721164</v>
      </c>
      <c r="L156" s="11">
        <v>100544</v>
      </c>
      <c r="M156" s="15">
        <f>L156/(L156+L157)</f>
        <v>0.75314421830875133</v>
      </c>
      <c r="N156" s="54">
        <f>M157-M156</f>
        <v>-0.50628843661750267</v>
      </c>
    </row>
    <row r="157" spans="1:15" ht="17.5" thickBot="1" x14ac:dyDescent="0.5">
      <c r="A157" s="48"/>
      <c r="B157" s="57"/>
      <c r="C157" s="8" t="s">
        <v>7</v>
      </c>
      <c r="D157" s="9">
        <v>4199</v>
      </c>
      <c r="E157" s="9">
        <v>10361</v>
      </c>
      <c r="F157" s="9">
        <f t="shared" si="12"/>
        <v>14560</v>
      </c>
      <c r="G157" s="14">
        <f>F157/(F157+F156)</f>
        <v>0.2991330073550561</v>
      </c>
      <c r="H157" s="53"/>
      <c r="I157" s="9">
        <v>18183</v>
      </c>
      <c r="J157" s="23">
        <f>I157/(I157+I156)</f>
        <v>0.21563511734639423</v>
      </c>
      <c r="K157" s="53"/>
      <c r="L157" s="9">
        <v>32955</v>
      </c>
      <c r="M157" s="14">
        <f>L157/(L157+L156)</f>
        <v>0.24685578169124861</v>
      </c>
      <c r="N157" s="55"/>
    </row>
    <row r="158" spans="1:15" ht="17.5" thickTop="1" x14ac:dyDescent="0.45">
      <c r="A158" s="46" t="s">
        <v>95</v>
      </c>
      <c r="B158" s="56" t="s">
        <v>96</v>
      </c>
      <c r="C158" s="10" t="s">
        <v>6</v>
      </c>
      <c r="D158" s="11">
        <v>7744</v>
      </c>
      <c r="E158" s="11">
        <v>29573</v>
      </c>
      <c r="F158" s="11">
        <f t="shared" si="12"/>
        <v>37317</v>
      </c>
      <c r="G158" s="15">
        <v>0.50560000000000005</v>
      </c>
      <c r="H158" s="52">
        <f>G159-G158</f>
        <v>-2.2800000000000042E-2</v>
      </c>
      <c r="I158" s="11">
        <v>40678</v>
      </c>
      <c r="J158" s="24">
        <v>0.59970000000000001</v>
      </c>
      <c r="K158" s="52">
        <f>J159-J158</f>
        <v>-0.20979999999999999</v>
      </c>
      <c r="L158" s="11">
        <v>78408</v>
      </c>
      <c r="M158" s="15">
        <v>0.54990000000000006</v>
      </c>
      <c r="N158" s="54">
        <f>M159-M158</f>
        <v>-0.11100000000000004</v>
      </c>
    </row>
    <row r="159" spans="1:15" ht="17.5" thickBot="1" x14ac:dyDescent="0.5">
      <c r="A159" s="47"/>
      <c r="B159" s="57"/>
      <c r="C159" s="8" t="s">
        <v>7</v>
      </c>
      <c r="D159" s="9">
        <v>8083</v>
      </c>
      <c r="E159" s="9">
        <v>27554</v>
      </c>
      <c r="F159" s="9">
        <f t="shared" si="12"/>
        <v>35637</v>
      </c>
      <c r="G159" s="14">
        <v>0.48280000000000001</v>
      </c>
      <c r="H159" s="53"/>
      <c r="I159" s="9">
        <v>26444</v>
      </c>
      <c r="J159" s="23">
        <v>0.38990000000000002</v>
      </c>
      <c r="K159" s="53"/>
      <c r="L159" s="9">
        <v>62582</v>
      </c>
      <c r="M159" s="14">
        <v>0.43890000000000001</v>
      </c>
      <c r="N159" s="55"/>
    </row>
    <row r="160" spans="1:15" ht="17.5" thickTop="1" x14ac:dyDescent="0.45">
      <c r="A160" s="47"/>
      <c r="B160" s="65" t="s">
        <v>97</v>
      </c>
      <c r="C160" s="39" t="s">
        <v>6</v>
      </c>
      <c r="D160" s="40">
        <v>5737</v>
      </c>
      <c r="E160" s="40">
        <v>21569</v>
      </c>
      <c r="F160" s="40">
        <f t="shared" si="12"/>
        <v>27306</v>
      </c>
      <c r="G160" s="41">
        <f>F160/(F160+F161)</f>
        <v>0.41635154915833128</v>
      </c>
      <c r="H160" s="60">
        <f>G161-G160</f>
        <v>0.16729690168333744</v>
      </c>
      <c r="I160" s="40">
        <v>36752</v>
      </c>
      <c r="J160" s="41">
        <f>I160/(I160+I161)</f>
        <v>0.50527241981384985</v>
      </c>
      <c r="K160" s="60">
        <f>J161-J160</f>
        <v>-1.0544839627699754E-2</v>
      </c>
      <c r="L160" s="40">
        <v>64246</v>
      </c>
      <c r="M160" s="41">
        <f>L160/(L160+L161)</f>
        <v>0.46265410761608478</v>
      </c>
      <c r="N160" s="60">
        <f>M161-M160</f>
        <v>7.4691784767830394E-2</v>
      </c>
    </row>
    <row r="161" spans="1:14" ht="17.5" thickBot="1" x14ac:dyDescent="0.5">
      <c r="A161" s="47"/>
      <c r="B161" s="66"/>
      <c r="C161" s="42" t="s">
        <v>7</v>
      </c>
      <c r="D161" s="37">
        <v>9167</v>
      </c>
      <c r="E161" s="37">
        <v>29111</v>
      </c>
      <c r="F161" s="37">
        <f t="shared" si="12"/>
        <v>38278</v>
      </c>
      <c r="G161" s="38">
        <f>F161/(F161+F160)</f>
        <v>0.58364845084166872</v>
      </c>
      <c r="H161" s="61"/>
      <c r="I161" s="37">
        <v>35985</v>
      </c>
      <c r="J161" s="38">
        <f>I161/(I161+I160)</f>
        <v>0.4947275801861501</v>
      </c>
      <c r="K161" s="61"/>
      <c r="L161" s="37">
        <v>74618</v>
      </c>
      <c r="M161" s="38">
        <f>L161/(L161+L160)</f>
        <v>0.53734589238391517</v>
      </c>
      <c r="N161" s="61"/>
    </row>
    <row r="162" spans="1:14" ht="17.5" thickTop="1" x14ac:dyDescent="0.45">
      <c r="A162" s="47"/>
      <c r="B162" s="58" t="s">
        <v>98</v>
      </c>
      <c r="C162" s="10" t="s">
        <v>6</v>
      </c>
      <c r="D162" s="11">
        <v>5169</v>
      </c>
      <c r="E162" s="11">
        <v>20277</v>
      </c>
      <c r="F162" s="11">
        <f t="shared" si="12"/>
        <v>25446</v>
      </c>
      <c r="G162" s="15">
        <f>F162/(F162+F163)</f>
        <v>0.46016130782306774</v>
      </c>
      <c r="H162" s="52">
        <f>G163-G162</f>
        <v>7.9677384353864511E-2</v>
      </c>
      <c r="I162" s="11">
        <v>33076</v>
      </c>
      <c r="J162" s="24">
        <f>I162/(I162+I163)</f>
        <v>0.54540357820100582</v>
      </c>
      <c r="K162" s="52">
        <f>J163-J162</f>
        <v>-9.0807156402011702E-2</v>
      </c>
      <c r="L162" s="11">
        <v>58730</v>
      </c>
      <c r="M162" s="15">
        <f>L162/(L162+L163)</f>
        <v>0.5044015974578091</v>
      </c>
      <c r="N162" s="54">
        <f>M163-M162</f>
        <v>-8.8031949156182066E-3</v>
      </c>
    </row>
    <row r="163" spans="1:14" ht="17.5" thickBot="1" x14ac:dyDescent="0.5">
      <c r="A163" s="47"/>
      <c r="B163" s="59"/>
      <c r="C163" s="8" t="s">
        <v>7</v>
      </c>
      <c r="D163" s="9">
        <v>6958</v>
      </c>
      <c r="E163" s="9">
        <v>22894</v>
      </c>
      <c r="F163" s="9">
        <f t="shared" si="12"/>
        <v>29852</v>
      </c>
      <c r="G163" s="14">
        <f>F163/(F163+F162)</f>
        <v>0.53983869217693226</v>
      </c>
      <c r="H163" s="53"/>
      <c r="I163" s="9">
        <v>27569</v>
      </c>
      <c r="J163" s="23">
        <f>I163/(I163+I162)</f>
        <v>0.45459642179899412</v>
      </c>
      <c r="K163" s="53"/>
      <c r="L163" s="9">
        <v>57705</v>
      </c>
      <c r="M163" s="14">
        <f>L163/(L163+L162)</f>
        <v>0.4955984025421909</v>
      </c>
      <c r="N163" s="55"/>
    </row>
    <row r="164" spans="1:14" ht="17.5" thickTop="1" x14ac:dyDescent="0.45">
      <c r="A164" s="47"/>
      <c r="B164" s="65" t="s">
        <v>99</v>
      </c>
      <c r="C164" s="39" t="s">
        <v>6</v>
      </c>
      <c r="D164" s="40">
        <v>3674</v>
      </c>
      <c r="E164" s="40">
        <v>18535</v>
      </c>
      <c r="F164" s="40">
        <f t="shared" si="12"/>
        <v>22209</v>
      </c>
      <c r="G164" s="41">
        <v>0.41139999999999999</v>
      </c>
      <c r="H164" s="60">
        <f>G165-G164</f>
        <v>0.16390000000000005</v>
      </c>
      <c r="I164" s="40">
        <v>29174</v>
      </c>
      <c r="J164" s="41">
        <v>0.50890000000000002</v>
      </c>
      <c r="K164" s="60">
        <f>J165-J164</f>
        <v>-3.3799999999999997E-2</v>
      </c>
      <c r="L164" s="40">
        <v>51546</v>
      </c>
      <c r="M164" s="41">
        <v>0.46079999999999999</v>
      </c>
      <c r="N164" s="60">
        <f>M165-M164</f>
        <v>6.3699999999999979E-2</v>
      </c>
    </row>
    <row r="165" spans="1:14" ht="17.5" thickBot="1" x14ac:dyDescent="0.5">
      <c r="A165" s="47"/>
      <c r="B165" s="66"/>
      <c r="C165" s="42" t="s">
        <v>7</v>
      </c>
      <c r="D165" s="37">
        <v>5964</v>
      </c>
      <c r="E165" s="37">
        <v>25096</v>
      </c>
      <c r="F165" s="37">
        <f t="shared" si="12"/>
        <v>31060</v>
      </c>
      <c r="G165" s="38">
        <v>0.57530000000000003</v>
      </c>
      <c r="H165" s="61"/>
      <c r="I165" s="37">
        <v>27236</v>
      </c>
      <c r="J165" s="38">
        <v>0.47510000000000002</v>
      </c>
      <c r="K165" s="61"/>
      <c r="L165" s="37">
        <v>58663</v>
      </c>
      <c r="M165" s="38">
        <v>0.52449999999999997</v>
      </c>
      <c r="N165" s="61"/>
    </row>
    <row r="166" spans="1:14" ht="17.5" thickTop="1" x14ac:dyDescent="0.45">
      <c r="A166" s="47"/>
      <c r="B166" s="65" t="s">
        <v>100</v>
      </c>
      <c r="C166" s="10" t="s">
        <v>6</v>
      </c>
      <c r="D166" s="11">
        <v>5245</v>
      </c>
      <c r="E166" s="11">
        <v>14931</v>
      </c>
      <c r="F166" s="11">
        <f t="shared" ref="F166:F179" si="13">SUM(D166:E166)</f>
        <v>20176</v>
      </c>
      <c r="G166" s="15">
        <f>F166/(F166+F167)</f>
        <v>0.41540045295449868</v>
      </c>
      <c r="H166" s="52">
        <f>G167-G166</f>
        <v>0.16919909409100264</v>
      </c>
      <c r="I166" s="11">
        <v>32428</v>
      </c>
      <c r="J166" s="24">
        <f>I166/(I166+I167)</f>
        <v>0.5377777777777778</v>
      </c>
      <c r="K166" s="52">
        <f>J167-J166</f>
        <v>-7.5555555555555598E-2</v>
      </c>
      <c r="L166" s="11">
        <v>53354</v>
      </c>
      <c r="M166" s="15">
        <f>L166/(L166+L167)</f>
        <v>0.48494378345952138</v>
      </c>
      <c r="N166" s="54">
        <f>M167-M166</f>
        <v>3.0112433080957235E-2</v>
      </c>
    </row>
    <row r="167" spans="1:14" ht="17.5" thickBot="1" x14ac:dyDescent="0.5">
      <c r="A167" s="47"/>
      <c r="B167" s="66"/>
      <c r="C167" s="8" t="s">
        <v>7</v>
      </c>
      <c r="D167" s="9">
        <v>7228</v>
      </c>
      <c r="E167" s="9">
        <v>21166</v>
      </c>
      <c r="F167" s="9">
        <f t="shared" si="13"/>
        <v>28394</v>
      </c>
      <c r="G167" s="14">
        <f>F167/(F167+F166)</f>
        <v>0.58459954704550132</v>
      </c>
      <c r="H167" s="53"/>
      <c r="I167" s="9">
        <v>27872</v>
      </c>
      <c r="J167" s="23">
        <f>I167/(I167+I166)</f>
        <v>0.4622222222222222</v>
      </c>
      <c r="K167" s="53"/>
      <c r="L167" s="9">
        <v>56667</v>
      </c>
      <c r="M167" s="14">
        <f>L167/(L167+L166)</f>
        <v>0.51505621654047862</v>
      </c>
      <c r="N167" s="55"/>
    </row>
    <row r="168" spans="1:14" ht="17.5" thickTop="1" x14ac:dyDescent="0.45">
      <c r="A168" s="47"/>
      <c r="B168" s="65" t="s">
        <v>106</v>
      </c>
      <c r="C168" s="10" t="s">
        <v>6</v>
      </c>
      <c r="D168" s="11">
        <v>5223</v>
      </c>
      <c r="E168" s="11">
        <v>14783</v>
      </c>
      <c r="F168" s="11">
        <f>SUM(D168:E168)</f>
        <v>20006</v>
      </c>
      <c r="G168" s="15">
        <v>0.35060000000000002</v>
      </c>
      <c r="H168" s="52">
        <f>G169-G168</f>
        <v>0.27359999999999995</v>
      </c>
      <c r="I168" s="11">
        <v>31987</v>
      </c>
      <c r="J168" s="24">
        <v>0.4451</v>
      </c>
      <c r="K168" s="52">
        <f>J169-J168</f>
        <v>8.0000000000000016E-2</v>
      </c>
      <c r="L168" s="11">
        <v>52139</v>
      </c>
      <c r="M168" s="15">
        <v>0.52510000000000001</v>
      </c>
      <c r="N168" s="54">
        <f>M169-M168</f>
        <v>4.4499999999999984E-2</v>
      </c>
    </row>
    <row r="169" spans="1:14" ht="17.5" thickBot="1" x14ac:dyDescent="0.5">
      <c r="A169" s="47"/>
      <c r="B169" s="66"/>
      <c r="C169" s="8" t="s">
        <v>7</v>
      </c>
      <c r="D169" s="9">
        <v>9883</v>
      </c>
      <c r="E169" s="9">
        <v>25739</v>
      </c>
      <c r="F169" s="9">
        <f t="shared" si="13"/>
        <v>35622</v>
      </c>
      <c r="G169" s="14">
        <v>0.62419999999999998</v>
      </c>
      <c r="H169" s="53"/>
      <c r="I169" s="9">
        <v>37739</v>
      </c>
      <c r="J169" s="23">
        <v>0.52510000000000001</v>
      </c>
      <c r="K169" s="53"/>
      <c r="L169" s="9">
        <v>73764</v>
      </c>
      <c r="M169" s="14">
        <v>0.5696</v>
      </c>
      <c r="N169" s="55"/>
    </row>
    <row r="170" spans="1:14" ht="17.5" thickTop="1" x14ac:dyDescent="0.45">
      <c r="A170" s="47"/>
      <c r="B170" s="65" t="s">
        <v>107</v>
      </c>
      <c r="C170" s="39" t="s">
        <v>6</v>
      </c>
      <c r="D170" s="40">
        <v>4768</v>
      </c>
      <c r="E170" s="40">
        <v>19817</v>
      </c>
      <c r="F170" s="40">
        <f t="shared" si="13"/>
        <v>24585</v>
      </c>
      <c r="G170" s="41">
        <f>F170/(F170+F171)</f>
        <v>0.3957917444780733</v>
      </c>
      <c r="H170" s="60">
        <f>G171-G170</f>
        <v>0.20841651104385339</v>
      </c>
      <c r="I170" s="40">
        <v>39036</v>
      </c>
      <c r="J170" s="41">
        <f>I170/(I170+I171)</f>
        <v>0.50358635636513749</v>
      </c>
      <c r="K170" s="60">
        <f>J171-J170</f>
        <v>-7.1727127302750326E-3</v>
      </c>
      <c r="L170" s="40">
        <v>63861</v>
      </c>
      <c r="M170" s="41">
        <f>L170/(L170+L171)</f>
        <v>0.45516164899076289</v>
      </c>
      <c r="N170" s="60">
        <f>M171-M170</f>
        <v>8.9676702018474164E-2</v>
      </c>
    </row>
    <row r="171" spans="1:14" ht="17.5" thickBot="1" x14ac:dyDescent="0.5">
      <c r="A171" s="47"/>
      <c r="B171" s="66"/>
      <c r="C171" s="42" t="s">
        <v>7</v>
      </c>
      <c r="D171" s="37">
        <v>7599</v>
      </c>
      <c r="E171" s="37">
        <v>29932</v>
      </c>
      <c r="F171" s="37">
        <f t="shared" si="13"/>
        <v>37531</v>
      </c>
      <c r="G171" s="38">
        <f>F171/(F171+F170)</f>
        <v>0.6042082555219267</v>
      </c>
      <c r="H171" s="61"/>
      <c r="I171" s="37">
        <v>38480</v>
      </c>
      <c r="J171" s="38">
        <f>I171/(I171+I170)</f>
        <v>0.49641364363486246</v>
      </c>
      <c r="K171" s="61"/>
      <c r="L171" s="37">
        <v>76443</v>
      </c>
      <c r="M171" s="38">
        <f>L171/(L171+L170)</f>
        <v>0.54483835100923705</v>
      </c>
      <c r="N171" s="61"/>
    </row>
    <row r="172" spans="1:14" ht="17.5" thickTop="1" x14ac:dyDescent="0.45">
      <c r="A172" s="47"/>
      <c r="B172" s="65" t="s">
        <v>108</v>
      </c>
      <c r="C172" s="10" t="s">
        <v>6</v>
      </c>
      <c r="D172" s="11">
        <v>5344</v>
      </c>
      <c r="E172" s="11">
        <v>19513</v>
      </c>
      <c r="F172" s="11">
        <f t="shared" si="13"/>
        <v>24857</v>
      </c>
      <c r="G172" s="15">
        <f>F172/(F172+F173)</f>
        <v>0.3904772377391687</v>
      </c>
      <c r="H172" s="52">
        <f>G173-G172</f>
        <v>0.21904552452166265</v>
      </c>
      <c r="I172" s="11">
        <v>37266</v>
      </c>
      <c r="J172" s="24">
        <f>I172/(I172+I173)</f>
        <v>0.49764305268077719</v>
      </c>
      <c r="K172" s="52">
        <f>J173-J172</f>
        <v>4.7138946384455704E-3</v>
      </c>
      <c r="L172" s="11">
        <v>62340</v>
      </c>
      <c r="M172" s="15">
        <f>L172/(L172+L173)</f>
        <v>0.44804760775350916</v>
      </c>
      <c r="N172" s="54">
        <f>M173-M172</f>
        <v>0.10390478449298168</v>
      </c>
    </row>
    <row r="173" spans="1:14" ht="17.5" thickBot="1" x14ac:dyDescent="0.5">
      <c r="A173" s="47"/>
      <c r="B173" s="66"/>
      <c r="C173" s="8" t="s">
        <v>7</v>
      </c>
      <c r="D173" s="9">
        <v>9581</v>
      </c>
      <c r="E173" s="9">
        <v>29220</v>
      </c>
      <c r="F173" s="9">
        <f t="shared" si="13"/>
        <v>38801</v>
      </c>
      <c r="G173" s="14">
        <f>F173/(F173+F172)</f>
        <v>0.60952276226083135</v>
      </c>
      <c r="H173" s="53"/>
      <c r="I173" s="9">
        <v>37619</v>
      </c>
      <c r="J173" s="23">
        <f>I173/(I173+I172)</f>
        <v>0.50235694731922276</v>
      </c>
      <c r="K173" s="53"/>
      <c r="L173" s="9">
        <v>76797</v>
      </c>
      <c r="M173" s="14">
        <f>L173/(L173+L172)</f>
        <v>0.55195239224649084</v>
      </c>
      <c r="N173" s="55"/>
    </row>
    <row r="174" spans="1:14" ht="17.5" thickTop="1" x14ac:dyDescent="0.45">
      <c r="A174" s="47"/>
      <c r="B174" s="65" t="s">
        <v>109</v>
      </c>
      <c r="C174" s="10" t="s">
        <v>6</v>
      </c>
      <c r="D174" s="11">
        <v>5419</v>
      </c>
      <c r="E174" s="11">
        <v>16018</v>
      </c>
      <c r="F174" s="11">
        <f t="shared" si="13"/>
        <v>21437</v>
      </c>
      <c r="G174" s="15">
        <v>0.33800000000000002</v>
      </c>
      <c r="H174" s="52">
        <f>G175-G174</f>
        <v>0.22859999999999997</v>
      </c>
      <c r="I174" s="11">
        <v>31876</v>
      </c>
      <c r="J174" s="24">
        <v>0.43070000000000003</v>
      </c>
      <c r="K174" s="52">
        <f>J175-J174</f>
        <v>3.6699999999999955E-2</v>
      </c>
      <c r="L174" s="11">
        <v>53487</v>
      </c>
      <c r="M174" s="15">
        <v>0.38750000000000001</v>
      </c>
      <c r="N174" s="54">
        <f>M175-M174</f>
        <v>0.12620000000000003</v>
      </c>
    </row>
    <row r="175" spans="1:14" ht="17.5" thickBot="1" x14ac:dyDescent="0.5">
      <c r="A175" s="47"/>
      <c r="B175" s="66"/>
      <c r="C175" s="8" t="s">
        <v>7</v>
      </c>
      <c r="D175" s="9">
        <v>9763</v>
      </c>
      <c r="E175" s="9">
        <v>26178</v>
      </c>
      <c r="F175" s="9">
        <f t="shared" si="13"/>
        <v>35941</v>
      </c>
      <c r="G175" s="14">
        <v>0.56659999999999999</v>
      </c>
      <c r="H175" s="53"/>
      <c r="I175" s="9">
        <v>34588</v>
      </c>
      <c r="J175" s="23">
        <v>0.46739999999999998</v>
      </c>
      <c r="K175" s="53"/>
      <c r="L175" s="9">
        <v>70896</v>
      </c>
      <c r="M175" s="14">
        <v>0.51370000000000005</v>
      </c>
      <c r="N175" s="55"/>
    </row>
    <row r="176" spans="1:14" ht="17.5" thickTop="1" x14ac:dyDescent="0.45">
      <c r="A176" s="47"/>
      <c r="B176" s="65" t="s">
        <v>110</v>
      </c>
      <c r="C176" s="10" t="s">
        <v>6</v>
      </c>
      <c r="D176" s="11">
        <v>2988</v>
      </c>
      <c r="E176" s="11">
        <v>10181</v>
      </c>
      <c r="F176" s="11">
        <f t="shared" si="13"/>
        <v>13169</v>
      </c>
      <c r="G176" s="15">
        <f>F176/(F176+F177)</f>
        <v>0.36403593642017967</v>
      </c>
      <c r="H176" s="52">
        <f>G177-G176</f>
        <v>0.2719281271596406</v>
      </c>
      <c r="I176" s="11">
        <v>19526</v>
      </c>
      <c r="J176" s="24">
        <f>I176/(I176+I177)</f>
        <v>0.46333823738787905</v>
      </c>
      <c r="K176" s="52">
        <f>J177-J176</f>
        <v>7.3323525224241903E-2</v>
      </c>
      <c r="L176" s="11">
        <v>32780</v>
      </c>
      <c r="M176" s="15">
        <f>L176/(L176+L177)</f>
        <v>0.4170324287877053</v>
      </c>
      <c r="N176" s="54">
        <f>M177-M176</f>
        <v>0.1659351424245894</v>
      </c>
    </row>
    <row r="177" spans="1:14" ht="17.5" thickBot="1" x14ac:dyDescent="0.5">
      <c r="A177" s="47"/>
      <c r="B177" s="66"/>
      <c r="C177" s="8" t="s">
        <v>7</v>
      </c>
      <c r="D177" s="9">
        <v>5699</v>
      </c>
      <c r="E177" s="9">
        <v>17307</v>
      </c>
      <c r="F177" s="9">
        <f t="shared" si="13"/>
        <v>23006</v>
      </c>
      <c r="G177" s="14">
        <f>F177/(F177+F176)</f>
        <v>0.63596406357982027</v>
      </c>
      <c r="H177" s="53"/>
      <c r="I177" s="9">
        <v>22616</v>
      </c>
      <c r="J177" s="23">
        <f>I177/(I177+I176)</f>
        <v>0.53666176261212095</v>
      </c>
      <c r="K177" s="53"/>
      <c r="L177" s="9">
        <v>45823</v>
      </c>
      <c r="M177" s="14">
        <f>L177/(L177+L176)</f>
        <v>0.5829675712122947</v>
      </c>
      <c r="N177" s="55"/>
    </row>
    <row r="178" spans="1:14" ht="17.5" thickTop="1" x14ac:dyDescent="0.45">
      <c r="A178" s="47"/>
      <c r="B178" s="65" t="s">
        <v>111</v>
      </c>
      <c r="C178" s="39" t="s">
        <v>6</v>
      </c>
      <c r="D178" s="40">
        <v>3322</v>
      </c>
      <c r="E178" s="40">
        <v>12180</v>
      </c>
      <c r="F178" s="40">
        <f t="shared" si="13"/>
        <v>15502</v>
      </c>
      <c r="G178" s="41">
        <v>0.39040000000000002</v>
      </c>
      <c r="H178" s="60">
        <f>G179-G178</f>
        <v>0.21600000000000003</v>
      </c>
      <c r="I178" s="40">
        <v>25003</v>
      </c>
      <c r="J178" s="41">
        <v>0.50739999999999996</v>
      </c>
      <c r="K178" s="60">
        <f>J179-J178</f>
        <v>-1.9799999999999984E-2</v>
      </c>
      <c r="L178" s="40">
        <v>40616</v>
      </c>
      <c r="M178" s="41">
        <v>0.4546</v>
      </c>
      <c r="N178" s="60">
        <f>M179-M178</f>
        <v>8.6699999999999999E-2</v>
      </c>
    </row>
    <row r="179" spans="1:14" ht="17.5" thickBot="1" x14ac:dyDescent="0.5">
      <c r="A179" s="47"/>
      <c r="B179" s="66"/>
      <c r="C179" s="42" t="s">
        <v>7</v>
      </c>
      <c r="D179" s="37">
        <v>5407</v>
      </c>
      <c r="E179" s="37">
        <v>18669</v>
      </c>
      <c r="F179" s="37">
        <f t="shared" si="13"/>
        <v>24076</v>
      </c>
      <c r="G179" s="38">
        <v>0.60640000000000005</v>
      </c>
      <c r="H179" s="61"/>
      <c r="I179" s="37">
        <v>24024</v>
      </c>
      <c r="J179" s="38">
        <v>0.48759999999999998</v>
      </c>
      <c r="K179" s="61"/>
      <c r="L179" s="37">
        <v>48365</v>
      </c>
      <c r="M179" s="38">
        <v>0.5413</v>
      </c>
      <c r="N179" s="61"/>
    </row>
    <row r="180" spans="1:14" ht="17.5" thickTop="1" x14ac:dyDescent="0.45">
      <c r="A180" s="47"/>
      <c r="B180" s="65" t="s">
        <v>112</v>
      </c>
      <c r="C180" s="10" t="s">
        <v>6</v>
      </c>
      <c r="D180" s="11">
        <v>3453</v>
      </c>
      <c r="E180" s="11">
        <v>14332</v>
      </c>
      <c r="F180" s="11">
        <f t="shared" ref="F180:F218" si="14">SUM(D180:E180)</f>
        <v>17785</v>
      </c>
      <c r="G180" s="15">
        <v>0.35799999999999998</v>
      </c>
      <c r="H180" s="52">
        <f>G181-G180</f>
        <v>0.26529999999999998</v>
      </c>
      <c r="I180" s="11">
        <v>26653</v>
      </c>
      <c r="J180" s="24">
        <v>0.44219999999999998</v>
      </c>
      <c r="K180" s="52">
        <f>J181-J180</f>
        <v>9.4200000000000006E-2</v>
      </c>
      <c r="L180" s="11">
        <v>44565</v>
      </c>
      <c r="M180" s="15">
        <v>0.40379999999999999</v>
      </c>
      <c r="N180" s="54">
        <f>M181-M180</f>
        <v>0.17209999999999998</v>
      </c>
    </row>
    <row r="181" spans="1:14" ht="17.5" thickBot="1" x14ac:dyDescent="0.5">
      <c r="A181" s="47"/>
      <c r="B181" s="66"/>
      <c r="C181" s="8" t="s">
        <v>7</v>
      </c>
      <c r="D181" s="9">
        <v>6980</v>
      </c>
      <c r="E181" s="9">
        <v>23980</v>
      </c>
      <c r="F181" s="9">
        <f t="shared" si="14"/>
        <v>30960</v>
      </c>
      <c r="G181" s="14">
        <v>0.62329999999999997</v>
      </c>
      <c r="H181" s="53"/>
      <c r="I181" s="9">
        <v>32329</v>
      </c>
      <c r="J181" s="23">
        <v>0.53639999999999999</v>
      </c>
      <c r="K181" s="53"/>
      <c r="L181" s="9">
        <v>63564</v>
      </c>
      <c r="M181" s="14">
        <v>0.57589999999999997</v>
      </c>
      <c r="N181" s="55"/>
    </row>
    <row r="182" spans="1:14" ht="17.5" thickTop="1" x14ac:dyDescent="0.45">
      <c r="A182" s="47"/>
      <c r="B182" s="65" t="s">
        <v>113</v>
      </c>
      <c r="C182" s="10" t="s">
        <v>6</v>
      </c>
      <c r="D182" s="11">
        <v>4387</v>
      </c>
      <c r="E182" s="11">
        <v>13268</v>
      </c>
      <c r="F182" s="11">
        <f t="shared" si="14"/>
        <v>17655</v>
      </c>
      <c r="G182" s="15">
        <f>F182/(F182+F183)</f>
        <v>0.37521518287888128</v>
      </c>
      <c r="H182" s="52">
        <f>G183-G182</f>
        <v>0.24956963424223749</v>
      </c>
      <c r="I182" s="11">
        <v>28543</v>
      </c>
      <c r="J182" s="24">
        <f>I182/(I182+I183)</f>
        <v>0.48197429965721617</v>
      </c>
      <c r="K182" s="52">
        <f>J183-J182</f>
        <v>3.6051400685567669E-2</v>
      </c>
      <c r="L182" s="11">
        <v>46448</v>
      </c>
      <c r="M182" s="15">
        <f>L182/(L182+L183)</f>
        <v>0.43461743597421187</v>
      </c>
      <c r="N182" s="54">
        <f>M183-M182</f>
        <v>0.13076512805157625</v>
      </c>
    </row>
    <row r="183" spans="1:14" ht="17.5" thickBot="1" x14ac:dyDescent="0.5">
      <c r="A183" s="47"/>
      <c r="B183" s="66"/>
      <c r="C183" s="8" t="s">
        <v>7</v>
      </c>
      <c r="D183" s="9">
        <v>7191</v>
      </c>
      <c r="E183" s="9">
        <v>22207</v>
      </c>
      <c r="F183" s="9">
        <f t="shared" si="14"/>
        <v>29398</v>
      </c>
      <c r="G183" s="14">
        <f>F183/(F183+F182)</f>
        <v>0.62478481712111877</v>
      </c>
      <c r="H183" s="53"/>
      <c r="I183" s="9">
        <v>30678</v>
      </c>
      <c r="J183" s="23">
        <f>I183/(I183+I182)</f>
        <v>0.51802570034278383</v>
      </c>
      <c r="K183" s="53"/>
      <c r="L183" s="9">
        <v>60423</v>
      </c>
      <c r="M183" s="14">
        <f>L183/(L183+L182)</f>
        <v>0.56538256402578813</v>
      </c>
      <c r="N183" s="55"/>
    </row>
    <row r="184" spans="1:14" ht="17.5" thickTop="1" x14ac:dyDescent="0.45">
      <c r="A184" s="47"/>
      <c r="B184" s="65" t="s">
        <v>114</v>
      </c>
      <c r="C184" s="10" t="s">
        <v>6</v>
      </c>
      <c r="D184" s="11">
        <v>4173</v>
      </c>
      <c r="E184" s="11">
        <v>14147</v>
      </c>
      <c r="F184" s="11">
        <f t="shared" si="14"/>
        <v>18320</v>
      </c>
      <c r="G184" s="15">
        <v>0.34410000000000002</v>
      </c>
      <c r="H184" s="52">
        <f>G185-G184</f>
        <v>0.28539999999999993</v>
      </c>
      <c r="I184" s="11">
        <v>26264</v>
      </c>
      <c r="J184" s="24">
        <v>0.44259999999999999</v>
      </c>
      <c r="K184" s="52">
        <f>J185-J184</f>
        <v>8.3500000000000019E-2</v>
      </c>
      <c r="L184" s="11">
        <v>44720</v>
      </c>
      <c r="M184" s="15">
        <v>0.39560000000000001</v>
      </c>
      <c r="N184" s="54">
        <f>M185-M184</f>
        <v>0.17970000000000003</v>
      </c>
    </row>
    <row r="185" spans="1:14" ht="17.5" thickBot="1" x14ac:dyDescent="0.5">
      <c r="A185" s="48"/>
      <c r="B185" s="66"/>
      <c r="C185" s="8" t="s">
        <v>7</v>
      </c>
      <c r="D185" s="9">
        <v>7894</v>
      </c>
      <c r="E185" s="9">
        <v>25615</v>
      </c>
      <c r="F185" s="9">
        <f t="shared" si="14"/>
        <v>33509</v>
      </c>
      <c r="G185" s="14">
        <v>0.62949999999999995</v>
      </c>
      <c r="H185" s="53"/>
      <c r="I185" s="9">
        <v>31219</v>
      </c>
      <c r="J185" s="23">
        <v>0.52610000000000001</v>
      </c>
      <c r="K185" s="53"/>
      <c r="L185" s="9">
        <v>65033</v>
      </c>
      <c r="M185" s="14">
        <v>0.57530000000000003</v>
      </c>
      <c r="N185" s="55"/>
    </row>
    <row r="186" spans="1:14" ht="17.5" thickTop="1" x14ac:dyDescent="0.45">
      <c r="A186" s="46" t="s">
        <v>115</v>
      </c>
      <c r="B186" s="65" t="s">
        <v>116</v>
      </c>
      <c r="C186" s="10" t="s">
        <v>6</v>
      </c>
      <c r="D186" s="11">
        <v>1640</v>
      </c>
      <c r="E186" s="11">
        <v>3446</v>
      </c>
      <c r="F186" s="11">
        <f t="shared" si="14"/>
        <v>5086</v>
      </c>
      <c r="G186" s="15">
        <f>F186/(F186+F187)</f>
        <v>9.4293448032926691E-2</v>
      </c>
      <c r="H186" s="52">
        <f>G187-G186</f>
        <v>0.81141310393414656</v>
      </c>
      <c r="I186" s="11">
        <v>5416</v>
      </c>
      <c r="J186" s="24">
        <f>I186/(I186+I187)</f>
        <v>0.13858751279426818</v>
      </c>
      <c r="K186" s="52">
        <f>J187-J186</f>
        <v>0.72282497441146365</v>
      </c>
      <c r="L186" s="11">
        <v>10563</v>
      </c>
      <c r="M186" s="15">
        <f>L186/(L186+L187)</f>
        <v>0.11303854632622048</v>
      </c>
      <c r="N186" s="54">
        <f>M187-M186</f>
        <v>0.77392290734755909</v>
      </c>
    </row>
    <row r="187" spans="1:14" ht="17.5" thickBot="1" x14ac:dyDescent="0.5">
      <c r="A187" s="47"/>
      <c r="B187" s="66"/>
      <c r="C187" s="8" t="s">
        <v>7</v>
      </c>
      <c r="D187" s="9">
        <v>13991</v>
      </c>
      <c r="E187" s="9">
        <v>34861</v>
      </c>
      <c r="F187" s="9">
        <f t="shared" si="14"/>
        <v>48852</v>
      </c>
      <c r="G187" s="14">
        <f>F187/(F187+F186)</f>
        <v>0.90570655196707328</v>
      </c>
      <c r="H187" s="53"/>
      <c r="I187" s="9">
        <v>33664</v>
      </c>
      <c r="J187" s="23">
        <f>I187/(I187+I186)</f>
        <v>0.86141248720573182</v>
      </c>
      <c r="K187" s="53"/>
      <c r="L187" s="9">
        <v>82883</v>
      </c>
      <c r="M187" s="14">
        <f>L187/(L187+L186)</f>
        <v>0.88696145367377954</v>
      </c>
      <c r="N187" s="55"/>
    </row>
    <row r="188" spans="1:14" ht="17.5" thickTop="1" x14ac:dyDescent="0.45">
      <c r="A188" s="47"/>
      <c r="B188" s="65" t="s">
        <v>117</v>
      </c>
      <c r="C188" s="10" t="s">
        <v>6</v>
      </c>
      <c r="D188" s="11">
        <v>1143</v>
      </c>
      <c r="E188" s="11">
        <v>2841</v>
      </c>
      <c r="F188" s="11">
        <f t="shared" si="14"/>
        <v>3984</v>
      </c>
      <c r="G188" s="15">
        <v>7.3300000000000004E-2</v>
      </c>
      <c r="H188" s="52">
        <f>G189-G188</f>
        <v>0.65059999999999996</v>
      </c>
      <c r="I188" s="11">
        <v>3918</v>
      </c>
      <c r="J188" s="24">
        <v>0.1052</v>
      </c>
      <c r="K188" s="52">
        <f>J189-J188</f>
        <v>0.56370000000000009</v>
      </c>
      <c r="L188" s="11">
        <v>7936</v>
      </c>
      <c r="M188" s="15">
        <v>8.6300000000000002E-2</v>
      </c>
      <c r="N188" s="54">
        <f>M189-M188</f>
        <v>0.61539999999999995</v>
      </c>
    </row>
    <row r="189" spans="1:14" ht="17.5" thickBot="1" x14ac:dyDescent="0.5">
      <c r="A189" s="47"/>
      <c r="B189" s="66"/>
      <c r="C189" s="8" t="s">
        <v>7</v>
      </c>
      <c r="D189" s="9">
        <v>10824</v>
      </c>
      <c r="E189" s="9">
        <v>28532</v>
      </c>
      <c r="F189" s="9">
        <f t="shared" si="14"/>
        <v>39356</v>
      </c>
      <c r="G189" s="14">
        <v>0.72389999999999999</v>
      </c>
      <c r="H189" s="53"/>
      <c r="I189" s="9">
        <v>24911</v>
      </c>
      <c r="J189" s="23">
        <v>0.66890000000000005</v>
      </c>
      <c r="K189" s="53"/>
      <c r="L189" s="9">
        <v>64558</v>
      </c>
      <c r="M189" s="14">
        <v>0.70169999999999999</v>
      </c>
      <c r="N189" s="55"/>
    </row>
    <row r="190" spans="1:14" ht="17.5" thickTop="1" x14ac:dyDescent="0.45">
      <c r="A190" s="47"/>
      <c r="B190" s="65" t="s">
        <v>112</v>
      </c>
      <c r="C190" s="10" t="s">
        <v>6</v>
      </c>
      <c r="D190" s="11">
        <v>1155</v>
      </c>
      <c r="E190" s="11">
        <v>2509</v>
      </c>
      <c r="F190" s="11">
        <f t="shared" si="14"/>
        <v>3664</v>
      </c>
      <c r="G190" s="15">
        <v>7.8399999999999997E-2</v>
      </c>
      <c r="H190" s="52">
        <f>G191-G190</f>
        <v>0.61609999999999998</v>
      </c>
      <c r="I190" s="11">
        <v>3804</v>
      </c>
      <c r="J190" s="24">
        <v>0.1081</v>
      </c>
      <c r="K190" s="52">
        <f>J191-J190</f>
        <v>0.56210000000000004</v>
      </c>
      <c r="L190" s="11">
        <v>7498</v>
      </c>
      <c r="M190" s="15">
        <v>9.1200000000000003E-2</v>
      </c>
      <c r="N190" s="54">
        <f>M191-M190</f>
        <v>0.59309999999999996</v>
      </c>
    </row>
    <row r="191" spans="1:14" ht="17.5" thickBot="1" x14ac:dyDescent="0.5">
      <c r="A191" s="47"/>
      <c r="B191" s="66"/>
      <c r="C191" s="8" t="s">
        <v>7</v>
      </c>
      <c r="D191" s="9">
        <v>8685</v>
      </c>
      <c r="E191" s="9">
        <v>23774</v>
      </c>
      <c r="F191" s="9">
        <f t="shared" si="14"/>
        <v>32459</v>
      </c>
      <c r="G191" s="14">
        <v>0.69450000000000001</v>
      </c>
      <c r="H191" s="53"/>
      <c r="I191" s="9">
        <v>23577</v>
      </c>
      <c r="J191" s="23">
        <v>0.67020000000000002</v>
      </c>
      <c r="K191" s="53"/>
      <c r="L191" s="9">
        <v>56267</v>
      </c>
      <c r="M191" s="14">
        <v>0.68430000000000002</v>
      </c>
      <c r="N191" s="55"/>
    </row>
    <row r="192" spans="1:14" ht="17.5" thickTop="1" x14ac:dyDescent="0.45">
      <c r="A192" s="47"/>
      <c r="B192" s="65" t="s">
        <v>113</v>
      </c>
      <c r="C192" s="10" t="s">
        <v>6</v>
      </c>
      <c r="D192" s="11">
        <v>9889</v>
      </c>
      <c r="E192" s="11">
        <v>1981</v>
      </c>
      <c r="F192" s="11">
        <f t="shared" si="14"/>
        <v>11870</v>
      </c>
      <c r="G192" s="15">
        <v>0.25650000000000001</v>
      </c>
      <c r="H192" s="52">
        <f>G193-G192</f>
        <v>0.28660000000000002</v>
      </c>
      <c r="I192" s="11">
        <v>3297</v>
      </c>
      <c r="J192" s="24">
        <v>9.5200000000000007E-2</v>
      </c>
      <c r="K192" s="52">
        <f>J193-J192</f>
        <v>0.59109999999999996</v>
      </c>
      <c r="L192" s="11">
        <v>6360</v>
      </c>
      <c r="M192" s="15">
        <v>7.8200000000000006E-2</v>
      </c>
      <c r="N192" s="54">
        <f>M193-M192</f>
        <v>0.63569999999999993</v>
      </c>
    </row>
    <row r="193" spans="1:14" ht="17.5" thickBot="1" x14ac:dyDescent="0.5">
      <c r="A193" s="47"/>
      <c r="B193" s="66"/>
      <c r="C193" s="8" t="s">
        <v>7</v>
      </c>
      <c r="D193" s="9">
        <v>1039</v>
      </c>
      <c r="E193" s="9">
        <v>24094</v>
      </c>
      <c r="F193" s="9">
        <f t="shared" si="14"/>
        <v>25133</v>
      </c>
      <c r="G193" s="14">
        <v>0.54310000000000003</v>
      </c>
      <c r="H193" s="53"/>
      <c r="I193" s="9">
        <v>23778</v>
      </c>
      <c r="J193" s="23">
        <v>0.68630000000000002</v>
      </c>
      <c r="K193" s="53"/>
      <c r="L193" s="9">
        <v>58037</v>
      </c>
      <c r="M193" s="14">
        <v>0.71389999999999998</v>
      </c>
      <c r="N193" s="55"/>
    </row>
    <row r="194" spans="1:14" ht="17.5" thickTop="1" x14ac:dyDescent="0.45">
      <c r="A194" s="47"/>
      <c r="B194" s="65" t="s">
        <v>76</v>
      </c>
      <c r="C194" s="10" t="s">
        <v>6</v>
      </c>
      <c r="D194" s="11">
        <v>1454</v>
      </c>
      <c r="E194" s="11">
        <v>3025</v>
      </c>
      <c r="F194" s="11">
        <f t="shared" si="14"/>
        <v>4479</v>
      </c>
      <c r="G194" s="15">
        <v>7.3300000000000004E-2</v>
      </c>
      <c r="H194" s="52">
        <f>G195-G194</f>
        <v>0.7742</v>
      </c>
      <c r="I194" s="11">
        <v>4330</v>
      </c>
      <c r="J194" s="24">
        <v>0.1023</v>
      </c>
      <c r="K194" s="52">
        <f>J195-J194</f>
        <v>0.71399999999999997</v>
      </c>
      <c r="L194" s="11">
        <v>8856</v>
      </c>
      <c r="M194" s="15">
        <v>8.5199999999999998E-2</v>
      </c>
      <c r="N194" s="54">
        <f>M195-M194</f>
        <v>0.74940000000000007</v>
      </c>
    </row>
    <row r="195" spans="1:14" ht="17.5" thickBot="1" x14ac:dyDescent="0.5">
      <c r="A195" s="47"/>
      <c r="B195" s="66"/>
      <c r="C195" s="8" t="s">
        <v>7</v>
      </c>
      <c r="D195" s="9">
        <v>13707</v>
      </c>
      <c r="E195" s="9">
        <v>38104</v>
      </c>
      <c r="F195" s="9">
        <f t="shared" si="14"/>
        <v>51811</v>
      </c>
      <c r="G195" s="14">
        <v>0.84750000000000003</v>
      </c>
      <c r="H195" s="53"/>
      <c r="I195" s="9">
        <v>34554</v>
      </c>
      <c r="J195" s="23">
        <v>0.81630000000000003</v>
      </c>
      <c r="K195" s="53"/>
      <c r="L195" s="9">
        <v>86713</v>
      </c>
      <c r="M195" s="14">
        <v>0.83460000000000001</v>
      </c>
      <c r="N195" s="55"/>
    </row>
    <row r="196" spans="1:14" ht="17.5" thickTop="1" x14ac:dyDescent="0.45">
      <c r="A196" s="47"/>
      <c r="B196" s="65" t="s">
        <v>77</v>
      </c>
      <c r="C196" s="10" t="s">
        <v>6</v>
      </c>
      <c r="D196" s="11">
        <v>1605</v>
      </c>
      <c r="E196" s="11">
        <v>3153</v>
      </c>
      <c r="F196" s="11">
        <f t="shared" si="14"/>
        <v>4758</v>
      </c>
      <c r="G196" s="15">
        <v>6.1600000000000002E-2</v>
      </c>
      <c r="H196" s="52">
        <f>G197-G196</f>
        <v>0.68230000000000002</v>
      </c>
      <c r="I196" s="11">
        <v>5047</v>
      </c>
      <c r="J196" s="24">
        <v>8.2799999999999999E-2</v>
      </c>
      <c r="K196" s="52">
        <f>J197-J196</f>
        <v>0.60940000000000005</v>
      </c>
      <c r="L196" s="11">
        <v>9877</v>
      </c>
      <c r="M196" s="15">
        <v>7.1199999999999999E-2</v>
      </c>
      <c r="N196" s="54">
        <f>M197-M196</f>
        <v>0.64999999999999991</v>
      </c>
    </row>
    <row r="197" spans="1:14" ht="17.5" thickBot="1" x14ac:dyDescent="0.5">
      <c r="A197" s="47"/>
      <c r="B197" s="66"/>
      <c r="C197" s="8" t="s">
        <v>7</v>
      </c>
      <c r="D197" s="9">
        <v>16721</v>
      </c>
      <c r="E197" s="9">
        <v>40695</v>
      </c>
      <c r="F197" s="9">
        <f t="shared" si="14"/>
        <v>57416</v>
      </c>
      <c r="G197" s="14">
        <v>0.74390000000000001</v>
      </c>
      <c r="H197" s="53"/>
      <c r="I197" s="9">
        <v>42176</v>
      </c>
      <c r="J197" s="23">
        <v>0.69220000000000004</v>
      </c>
      <c r="K197" s="53"/>
      <c r="L197" s="9">
        <v>99993</v>
      </c>
      <c r="M197" s="14">
        <v>0.72119999999999995</v>
      </c>
      <c r="N197" s="55"/>
    </row>
    <row r="198" spans="1:14" ht="17.5" thickTop="1" x14ac:dyDescent="0.45">
      <c r="A198" s="47"/>
      <c r="B198" s="65" t="s">
        <v>118</v>
      </c>
      <c r="C198" s="10" t="s">
        <v>6</v>
      </c>
      <c r="D198" s="11">
        <v>891</v>
      </c>
      <c r="E198" s="11">
        <v>1973</v>
      </c>
      <c r="F198" s="11">
        <f t="shared" si="14"/>
        <v>2864</v>
      </c>
      <c r="G198" s="15">
        <v>6.13E-2</v>
      </c>
      <c r="H198" s="52">
        <f>G199-G198</f>
        <v>0.76849999999999996</v>
      </c>
      <c r="I198" s="11">
        <v>3414</v>
      </c>
      <c r="J198" s="24">
        <v>7.8200000000000006E-2</v>
      </c>
      <c r="K198" s="52">
        <f>J199-J198</f>
        <v>0.72549999999999992</v>
      </c>
      <c r="L198" s="11">
        <v>6318</v>
      </c>
      <c r="M198" s="15">
        <v>6.9699999999999998E-2</v>
      </c>
      <c r="N198" s="54">
        <f>M199-M198</f>
        <v>0.74729999999999996</v>
      </c>
    </row>
    <row r="199" spans="1:14" ht="17.5" thickBot="1" x14ac:dyDescent="0.5">
      <c r="A199" s="47"/>
      <c r="B199" s="66"/>
      <c r="C199" s="8" t="s">
        <v>7</v>
      </c>
      <c r="D199" s="9">
        <v>9282</v>
      </c>
      <c r="E199" s="9">
        <v>29513</v>
      </c>
      <c r="F199" s="9">
        <f t="shared" si="14"/>
        <v>38795</v>
      </c>
      <c r="G199" s="14">
        <v>0.82979999999999998</v>
      </c>
      <c r="H199" s="53"/>
      <c r="I199" s="9">
        <v>35088</v>
      </c>
      <c r="J199" s="23">
        <v>0.80369999999999997</v>
      </c>
      <c r="K199" s="53"/>
      <c r="L199" s="9">
        <v>74102</v>
      </c>
      <c r="M199" s="14">
        <v>0.81699999999999995</v>
      </c>
      <c r="N199" s="55"/>
    </row>
    <row r="200" spans="1:14" ht="17.5" thickTop="1" x14ac:dyDescent="0.45">
      <c r="A200" s="47"/>
      <c r="B200" s="65" t="s">
        <v>119</v>
      </c>
      <c r="C200" s="10" t="s">
        <v>6</v>
      </c>
      <c r="D200" s="11">
        <v>1004</v>
      </c>
      <c r="E200" s="11">
        <v>1672</v>
      </c>
      <c r="F200" s="11">
        <f t="shared" si="14"/>
        <v>2676</v>
      </c>
      <c r="G200" s="15">
        <v>4.1599999999999998E-2</v>
      </c>
      <c r="H200" s="52">
        <f>G201-G200</f>
        <v>0.73799999999999999</v>
      </c>
      <c r="I200" s="11">
        <v>3239</v>
      </c>
      <c r="J200" s="24">
        <v>5.4199999999999998E-2</v>
      </c>
      <c r="K200" s="52">
        <f>J201-J200</f>
        <v>0.68709999999999993</v>
      </c>
      <c r="L200" s="11">
        <v>5941</v>
      </c>
      <c r="M200" s="15">
        <v>4.7699999999999999E-2</v>
      </c>
      <c r="N200" s="54">
        <f>M201-M200</f>
        <v>0.71330000000000005</v>
      </c>
    </row>
    <row r="201" spans="1:14" ht="17.5" thickBot="1" x14ac:dyDescent="0.5">
      <c r="A201" s="48"/>
      <c r="B201" s="66"/>
      <c r="C201" s="8" t="s">
        <v>7</v>
      </c>
      <c r="D201" s="9">
        <v>14505</v>
      </c>
      <c r="E201" s="9">
        <v>35678</v>
      </c>
      <c r="F201" s="9">
        <f t="shared" si="14"/>
        <v>50183</v>
      </c>
      <c r="G201" s="14">
        <v>0.77959999999999996</v>
      </c>
      <c r="H201" s="53"/>
      <c r="I201" s="9">
        <v>44272</v>
      </c>
      <c r="J201" s="23">
        <v>0.74129999999999996</v>
      </c>
      <c r="K201" s="53"/>
      <c r="L201" s="9">
        <v>94733</v>
      </c>
      <c r="M201" s="14">
        <v>0.76100000000000001</v>
      </c>
      <c r="N201" s="55"/>
    </row>
    <row r="202" spans="1:14" ht="17.5" thickTop="1" x14ac:dyDescent="0.45">
      <c r="A202" s="46" t="s">
        <v>124</v>
      </c>
      <c r="B202" s="65" t="s">
        <v>120</v>
      </c>
      <c r="C202" s="39" t="s">
        <v>6</v>
      </c>
      <c r="D202" s="40">
        <v>4133</v>
      </c>
      <c r="E202" s="40">
        <v>16882</v>
      </c>
      <c r="F202" s="40">
        <f t="shared" si="14"/>
        <v>21015</v>
      </c>
      <c r="G202" s="41">
        <v>0.36890000000000001</v>
      </c>
      <c r="H202" s="60">
        <f>G203-G202</f>
        <v>0.22899999999999998</v>
      </c>
      <c r="I202" s="40">
        <v>33342</v>
      </c>
      <c r="J202" s="41">
        <v>0.52370000000000005</v>
      </c>
      <c r="K202" s="60">
        <f>J203-J202</f>
        <v>-4.9000000000000044E-2</v>
      </c>
      <c r="L202" s="40">
        <v>54527</v>
      </c>
      <c r="M202" s="41">
        <v>0.4501</v>
      </c>
      <c r="N202" s="60">
        <f>M203-M202</f>
        <v>8.3199999999999996E-2</v>
      </c>
    </row>
    <row r="203" spans="1:14" ht="17.5" thickBot="1" x14ac:dyDescent="0.5">
      <c r="A203" s="47"/>
      <c r="B203" s="66"/>
      <c r="C203" s="42" t="s">
        <v>7</v>
      </c>
      <c r="D203" s="37">
        <v>7792</v>
      </c>
      <c r="E203" s="37">
        <v>26269</v>
      </c>
      <c r="F203" s="37">
        <f t="shared" si="14"/>
        <v>34061</v>
      </c>
      <c r="G203" s="38">
        <v>0.59789999999999999</v>
      </c>
      <c r="H203" s="61"/>
      <c r="I203" s="37">
        <v>30223</v>
      </c>
      <c r="J203" s="38">
        <v>0.47470000000000001</v>
      </c>
      <c r="K203" s="61"/>
      <c r="L203" s="37">
        <v>64597</v>
      </c>
      <c r="M203" s="38">
        <v>0.5333</v>
      </c>
      <c r="N203" s="61"/>
    </row>
    <row r="204" spans="1:14" ht="17.5" thickTop="1" x14ac:dyDescent="0.45">
      <c r="A204" s="47"/>
      <c r="B204" s="65" t="s">
        <v>13</v>
      </c>
      <c r="C204" s="10" t="s">
        <v>6</v>
      </c>
      <c r="D204" s="11">
        <v>4652</v>
      </c>
      <c r="E204" s="11">
        <v>19166</v>
      </c>
      <c r="F204" s="11">
        <f t="shared" si="14"/>
        <v>23818</v>
      </c>
      <c r="G204" s="15">
        <f>F204/(F204+F205)</f>
        <v>0.41194783631395065</v>
      </c>
      <c r="H204" s="52">
        <f>G205-G204</f>
        <v>0.17610432737209863</v>
      </c>
      <c r="I204" s="11">
        <v>37131</v>
      </c>
      <c r="J204" s="24">
        <f>I204/(I204+I205)</f>
        <v>0.53563855108841474</v>
      </c>
      <c r="K204" s="52">
        <f>J205-J204</f>
        <v>-7.1277102176829532E-2</v>
      </c>
      <c r="L204" s="11">
        <v>61172</v>
      </c>
      <c r="M204" s="15">
        <f>L204/(L204+L205)</f>
        <v>0.47910025767342046</v>
      </c>
      <c r="N204" s="54">
        <f>M205-M204</f>
        <v>4.179948465315908E-2</v>
      </c>
    </row>
    <row r="205" spans="1:14" ht="17.5" thickBot="1" x14ac:dyDescent="0.5">
      <c r="A205" s="47"/>
      <c r="B205" s="66"/>
      <c r="C205" s="8" t="s">
        <v>7</v>
      </c>
      <c r="D205" s="9">
        <v>8317</v>
      </c>
      <c r="E205" s="9">
        <v>25683</v>
      </c>
      <c r="F205" s="9">
        <f t="shared" si="14"/>
        <v>34000</v>
      </c>
      <c r="G205" s="14">
        <f>F205/(F205+F204)</f>
        <v>0.58805216368604929</v>
      </c>
      <c r="H205" s="53"/>
      <c r="I205" s="9">
        <v>32190</v>
      </c>
      <c r="J205" s="23">
        <f>I205/(I205+I204)</f>
        <v>0.46436144891158521</v>
      </c>
      <c r="K205" s="53"/>
      <c r="L205" s="9">
        <v>66509</v>
      </c>
      <c r="M205" s="14">
        <f>L205/(L205+L204)</f>
        <v>0.52089974232657954</v>
      </c>
      <c r="N205" s="55"/>
    </row>
    <row r="206" spans="1:14" ht="17.5" thickTop="1" x14ac:dyDescent="0.45">
      <c r="A206" s="47"/>
      <c r="B206" s="65" t="s">
        <v>112</v>
      </c>
      <c r="C206" s="10" t="s">
        <v>6</v>
      </c>
      <c r="D206" s="11">
        <v>5032</v>
      </c>
      <c r="E206" s="11">
        <v>16679</v>
      </c>
      <c r="F206" s="11">
        <f t="shared" si="14"/>
        <v>21711</v>
      </c>
      <c r="G206" s="15">
        <v>0.35809999999999997</v>
      </c>
      <c r="H206" s="52">
        <f>G207-G206</f>
        <v>0.23399999999999999</v>
      </c>
      <c r="I206" s="11">
        <v>34228</v>
      </c>
      <c r="J206" s="24">
        <v>0.4607</v>
      </c>
      <c r="K206" s="52">
        <f>J207-J206</f>
        <v>1.5199999999999991E-2</v>
      </c>
      <c r="L206" s="11">
        <v>56136</v>
      </c>
      <c r="M206" s="15">
        <v>0.41439999999999999</v>
      </c>
      <c r="N206" s="54">
        <f>M207-M206</f>
        <v>0.1139</v>
      </c>
    </row>
    <row r="207" spans="1:14" ht="17.5" thickBot="1" x14ac:dyDescent="0.5">
      <c r="A207" s="47"/>
      <c r="B207" s="66"/>
      <c r="C207" s="8" t="s">
        <v>7</v>
      </c>
      <c r="D207" s="9">
        <v>9954</v>
      </c>
      <c r="E207" s="9">
        <v>25940</v>
      </c>
      <c r="F207" s="9">
        <f t="shared" si="14"/>
        <v>35894</v>
      </c>
      <c r="G207" s="14">
        <v>0.59209999999999996</v>
      </c>
      <c r="H207" s="53"/>
      <c r="I207" s="9">
        <v>35355</v>
      </c>
      <c r="J207" s="23">
        <v>0.47589999999999999</v>
      </c>
      <c r="K207" s="53"/>
      <c r="L207" s="9">
        <v>71576</v>
      </c>
      <c r="M207" s="14">
        <v>0.52829999999999999</v>
      </c>
      <c r="N207" s="55"/>
    </row>
    <row r="208" spans="1:14" ht="17.5" thickTop="1" x14ac:dyDescent="0.45">
      <c r="A208" s="47"/>
      <c r="B208" s="65" t="s">
        <v>113</v>
      </c>
      <c r="C208" s="10" t="s">
        <v>6</v>
      </c>
      <c r="D208" s="11">
        <v>4450</v>
      </c>
      <c r="E208" s="11">
        <v>15866</v>
      </c>
      <c r="F208" s="11">
        <f t="shared" si="14"/>
        <v>20316</v>
      </c>
      <c r="G208" s="15">
        <v>0.36520000000000002</v>
      </c>
      <c r="H208" s="52">
        <f>G209-G208</f>
        <v>0.24640000000000001</v>
      </c>
      <c r="I208" s="11">
        <v>30868</v>
      </c>
      <c r="J208" s="24">
        <v>0.48559999999999998</v>
      </c>
      <c r="K208" s="52">
        <f>J209-J208</f>
        <v>1.6000000000000458E-3</v>
      </c>
      <c r="L208" s="11">
        <v>51320</v>
      </c>
      <c r="M208" s="15">
        <v>0.42870000000000003</v>
      </c>
      <c r="N208" s="54">
        <f>M209-M208</f>
        <v>0.11720000000000003</v>
      </c>
    </row>
    <row r="209" spans="1:14" ht="17.5" thickBot="1" x14ac:dyDescent="0.5">
      <c r="A209" s="47"/>
      <c r="B209" s="66"/>
      <c r="C209" s="8" t="s">
        <v>7</v>
      </c>
      <c r="D209" s="9">
        <v>8417</v>
      </c>
      <c r="E209" s="9">
        <v>25604</v>
      </c>
      <c r="F209" s="9">
        <f t="shared" si="14"/>
        <v>34021</v>
      </c>
      <c r="G209" s="14">
        <v>0.61160000000000003</v>
      </c>
      <c r="H209" s="53"/>
      <c r="I209" s="9">
        <v>30969</v>
      </c>
      <c r="J209" s="23">
        <v>0.48720000000000002</v>
      </c>
      <c r="K209" s="53"/>
      <c r="L209" s="9">
        <v>65340</v>
      </c>
      <c r="M209" s="14">
        <v>0.54590000000000005</v>
      </c>
      <c r="N209" s="55"/>
    </row>
    <row r="210" spans="1:14" ht="17.5" thickTop="1" x14ac:dyDescent="0.45">
      <c r="A210" s="47"/>
      <c r="B210" s="65" t="s">
        <v>121</v>
      </c>
      <c r="C210" s="10" t="s">
        <v>6</v>
      </c>
      <c r="D210" s="11">
        <v>4722</v>
      </c>
      <c r="E210" s="11">
        <v>11552</v>
      </c>
      <c r="F210" s="11">
        <f t="shared" si="14"/>
        <v>16274</v>
      </c>
      <c r="G210" s="15">
        <v>0.34110000000000001</v>
      </c>
      <c r="H210" s="52">
        <f>G211-G210</f>
        <v>0.2959</v>
      </c>
      <c r="I210" s="11">
        <v>26769</v>
      </c>
      <c r="J210" s="24">
        <v>0.46510000000000001</v>
      </c>
      <c r="K210" s="52">
        <f>J211-J210</f>
        <v>4.450000000000004E-2</v>
      </c>
      <c r="L210" s="11">
        <v>43189</v>
      </c>
      <c r="M210" s="15">
        <v>0.40839999999999999</v>
      </c>
      <c r="N210" s="54">
        <f>M211-M210</f>
        <v>0.15939999999999999</v>
      </c>
    </row>
    <row r="211" spans="1:14" ht="17.5" thickBot="1" x14ac:dyDescent="0.5">
      <c r="A211" s="47"/>
      <c r="B211" s="66"/>
      <c r="C211" s="8" t="s">
        <v>7</v>
      </c>
      <c r="D211" s="9">
        <v>9204</v>
      </c>
      <c r="E211" s="9">
        <v>21185</v>
      </c>
      <c r="F211" s="9">
        <f t="shared" si="14"/>
        <v>30389</v>
      </c>
      <c r="G211" s="14">
        <v>0.63700000000000001</v>
      </c>
      <c r="H211" s="53"/>
      <c r="I211" s="9">
        <v>29332</v>
      </c>
      <c r="J211" s="23">
        <v>0.50960000000000005</v>
      </c>
      <c r="K211" s="53"/>
      <c r="L211" s="9">
        <v>60038</v>
      </c>
      <c r="M211" s="14">
        <v>0.56779999999999997</v>
      </c>
      <c r="N211" s="55"/>
    </row>
    <row r="212" spans="1:14" ht="17.5" thickTop="1" x14ac:dyDescent="0.45">
      <c r="A212" s="47"/>
      <c r="B212" s="65" t="s">
        <v>122</v>
      </c>
      <c r="C212" s="10" t="s">
        <v>6</v>
      </c>
      <c r="D212" s="11">
        <v>4542</v>
      </c>
      <c r="E212" s="11">
        <v>10881</v>
      </c>
      <c r="F212" s="11">
        <f t="shared" si="14"/>
        <v>15423</v>
      </c>
      <c r="G212" s="15">
        <v>0.31140000000000001</v>
      </c>
      <c r="H212" s="52">
        <f>G213-G212</f>
        <v>0.35050000000000003</v>
      </c>
      <c r="I212" s="11">
        <v>22605</v>
      </c>
      <c r="J212" s="24">
        <v>0.42920000000000003</v>
      </c>
      <c r="K212" s="52">
        <f>J213-J212</f>
        <v>0.10760000000000003</v>
      </c>
      <c r="L212" s="11">
        <v>38209</v>
      </c>
      <c r="M212" s="15">
        <v>0.372</v>
      </c>
      <c r="N212" s="54">
        <f>M213-M212</f>
        <v>0.22560000000000002</v>
      </c>
    </row>
    <row r="213" spans="1:14" ht="17.5" thickBot="1" x14ac:dyDescent="0.5">
      <c r="A213" s="47"/>
      <c r="B213" s="66"/>
      <c r="C213" s="8" t="s">
        <v>7</v>
      </c>
      <c r="D213" s="9">
        <v>8455</v>
      </c>
      <c r="E213" s="9">
        <v>24324</v>
      </c>
      <c r="F213" s="9">
        <f t="shared" si="14"/>
        <v>32779</v>
      </c>
      <c r="G213" s="14">
        <v>0.66190000000000004</v>
      </c>
      <c r="H213" s="53"/>
      <c r="I213" s="9">
        <v>28273</v>
      </c>
      <c r="J213" s="23">
        <v>0.53680000000000005</v>
      </c>
      <c r="K213" s="53"/>
      <c r="L213" s="9">
        <v>61387</v>
      </c>
      <c r="M213" s="14">
        <v>0.59760000000000002</v>
      </c>
      <c r="N213" s="55"/>
    </row>
    <row r="214" spans="1:14" ht="17.5" thickTop="1" x14ac:dyDescent="0.45">
      <c r="A214" s="47"/>
      <c r="B214" s="65" t="s">
        <v>123</v>
      </c>
      <c r="C214" s="39" t="s">
        <v>6</v>
      </c>
      <c r="D214" s="40">
        <v>3093</v>
      </c>
      <c r="E214" s="40">
        <v>12469</v>
      </c>
      <c r="F214" s="40">
        <f t="shared" si="14"/>
        <v>15562</v>
      </c>
      <c r="G214" s="41">
        <v>0.36919999999999997</v>
      </c>
      <c r="H214" s="60">
        <f>G215-G214</f>
        <v>0.20630000000000004</v>
      </c>
      <c r="I214" s="40">
        <v>25973</v>
      </c>
      <c r="J214" s="41">
        <v>0.47889999999999999</v>
      </c>
      <c r="K214" s="60">
        <f>J215-J214</f>
        <v>-2.1399999999999975E-2</v>
      </c>
      <c r="L214" s="40">
        <v>41655</v>
      </c>
      <c r="M214" s="41">
        <v>0.43049999999999999</v>
      </c>
      <c r="N214" s="60">
        <f>M215-M214</f>
        <v>7.8799999999999981E-2</v>
      </c>
    </row>
    <row r="215" spans="1:14" ht="17.5" thickBot="1" x14ac:dyDescent="0.5">
      <c r="A215" s="48"/>
      <c r="B215" s="66"/>
      <c r="C215" s="42" t="s">
        <v>7</v>
      </c>
      <c r="D215" s="37">
        <v>5754</v>
      </c>
      <c r="E215" s="37">
        <v>18499</v>
      </c>
      <c r="F215" s="37">
        <f t="shared" si="14"/>
        <v>24253</v>
      </c>
      <c r="G215" s="38">
        <v>0.57550000000000001</v>
      </c>
      <c r="H215" s="61"/>
      <c r="I215" s="37">
        <v>24810</v>
      </c>
      <c r="J215" s="38">
        <v>0.45750000000000002</v>
      </c>
      <c r="K215" s="61"/>
      <c r="L215" s="37">
        <v>49273</v>
      </c>
      <c r="M215" s="38">
        <v>0.50929999999999997</v>
      </c>
      <c r="N215" s="61"/>
    </row>
    <row r="216" spans="1:14" ht="17.5" thickTop="1" x14ac:dyDescent="0.45">
      <c r="A216" s="46" t="s">
        <v>129</v>
      </c>
      <c r="B216" s="58" t="s">
        <v>13</v>
      </c>
      <c r="C216" s="10" t="s">
        <v>6</v>
      </c>
      <c r="D216" s="11">
        <v>4432</v>
      </c>
      <c r="E216" s="11">
        <v>21737</v>
      </c>
      <c r="F216" s="11">
        <f t="shared" si="14"/>
        <v>26169</v>
      </c>
      <c r="G216" s="15">
        <f>F216/(F216+F217)</f>
        <v>0.49225010345735676</v>
      </c>
      <c r="H216" s="52">
        <f>G217-G216</f>
        <v>1.5499793085286484E-2</v>
      </c>
      <c r="I216" s="11">
        <v>41272</v>
      </c>
      <c r="J216" s="24">
        <f>I216/(I216+I217)</f>
        <v>0.62314289165358139</v>
      </c>
      <c r="K216" s="52">
        <f>J217-J216</f>
        <v>-0.24628578330716272</v>
      </c>
      <c r="L216" s="11">
        <v>67601</v>
      </c>
      <c r="M216" s="15">
        <f>L216/(L216+L217)</f>
        <v>0.56447532127021771</v>
      </c>
      <c r="N216" s="54">
        <f>M217-M216</f>
        <v>-0.12895064254043542</v>
      </c>
    </row>
    <row r="217" spans="1:14" ht="17.5" thickBot="1" x14ac:dyDescent="0.5">
      <c r="A217" s="47"/>
      <c r="B217" s="59"/>
      <c r="C217" s="8" t="s">
        <v>7</v>
      </c>
      <c r="D217" s="9">
        <v>5246</v>
      </c>
      <c r="E217" s="9">
        <v>21747</v>
      </c>
      <c r="F217" s="9">
        <f t="shared" si="14"/>
        <v>26993</v>
      </c>
      <c r="G217" s="14">
        <f>F217/(F217+F216)</f>
        <v>0.50774989654264324</v>
      </c>
      <c r="H217" s="53"/>
      <c r="I217" s="9">
        <v>24960</v>
      </c>
      <c r="J217" s="23">
        <f>I217/(I217+I216)</f>
        <v>0.37685710834641867</v>
      </c>
      <c r="K217" s="53"/>
      <c r="L217" s="9">
        <v>52158</v>
      </c>
      <c r="M217" s="14">
        <f>L217/(L217+L216)</f>
        <v>0.43552467872978229</v>
      </c>
      <c r="N217" s="55"/>
    </row>
    <row r="218" spans="1:14" ht="17.5" thickTop="1" x14ac:dyDescent="0.45">
      <c r="A218" s="47"/>
      <c r="B218" s="58" t="s">
        <v>125</v>
      </c>
      <c r="C218" s="10" t="s">
        <v>6</v>
      </c>
      <c r="D218" s="11">
        <v>4252</v>
      </c>
      <c r="E218" s="11">
        <v>15551</v>
      </c>
      <c r="F218" s="11">
        <f t="shared" si="14"/>
        <v>19803</v>
      </c>
      <c r="G218" s="15">
        <v>0.4768</v>
      </c>
      <c r="H218" s="52">
        <f>G219-G218</f>
        <v>1.529999999999998E-2</v>
      </c>
      <c r="I218" s="11">
        <v>30139</v>
      </c>
      <c r="J218" s="24">
        <v>0.5897</v>
      </c>
      <c r="K218" s="52">
        <f>J219-J218</f>
        <v>-0.21650000000000003</v>
      </c>
      <c r="L218" s="11">
        <v>50066</v>
      </c>
      <c r="M218" s="15">
        <v>0.53859999999999997</v>
      </c>
      <c r="N218" s="54">
        <f>M219-M218</f>
        <v>-0.11169999999999997</v>
      </c>
    </row>
    <row r="219" spans="1:14" ht="17.5" thickBot="1" x14ac:dyDescent="0.5">
      <c r="A219" s="47"/>
      <c r="B219" s="59"/>
      <c r="C219" s="8" t="s">
        <v>7</v>
      </c>
      <c r="D219" s="9">
        <v>4899</v>
      </c>
      <c r="E219" s="9">
        <v>15540</v>
      </c>
      <c r="F219" s="9">
        <f>SUM(D219:E219)</f>
        <v>20439</v>
      </c>
      <c r="G219" s="14">
        <v>0.49209999999999998</v>
      </c>
      <c r="H219" s="53"/>
      <c r="I219" s="9">
        <v>19072</v>
      </c>
      <c r="J219" s="23">
        <v>0.37319999999999998</v>
      </c>
      <c r="K219" s="53"/>
      <c r="L219" s="9">
        <v>39687</v>
      </c>
      <c r="M219" s="14">
        <v>0.4269</v>
      </c>
      <c r="N219" s="55"/>
    </row>
    <row r="220" spans="1:14" ht="17.5" thickTop="1" x14ac:dyDescent="0.45">
      <c r="A220" s="47"/>
      <c r="B220" s="56" t="s">
        <v>126</v>
      </c>
      <c r="C220" s="10" t="s">
        <v>6</v>
      </c>
      <c r="D220" s="11">
        <v>3802</v>
      </c>
      <c r="E220" s="11">
        <v>13414</v>
      </c>
      <c r="F220" s="11">
        <f>SUM(D220:E220)</f>
        <v>17216</v>
      </c>
      <c r="G220" s="15">
        <f>F220/(F220+F221)</f>
        <v>0.50435037351691814</v>
      </c>
      <c r="H220" s="52">
        <f>G221-G220</f>
        <v>-8.7007470338362758E-3</v>
      </c>
      <c r="I220" s="11">
        <v>27162</v>
      </c>
      <c r="J220" s="24">
        <f>I220/(I220+I221)</f>
        <v>0.60676868088908742</v>
      </c>
      <c r="K220" s="52">
        <f>J221-J220</f>
        <v>-0.21353736177817489</v>
      </c>
      <c r="L220" s="11">
        <v>44502</v>
      </c>
      <c r="M220" s="15">
        <f>L220/(L220+L221)</f>
        <v>0.56227731028731709</v>
      </c>
      <c r="N220" s="54">
        <f>M221-M220</f>
        <v>-0.12455462057463418</v>
      </c>
    </row>
    <row r="221" spans="1:14" ht="17.5" thickBot="1" x14ac:dyDescent="0.5">
      <c r="A221" s="47"/>
      <c r="B221" s="57"/>
      <c r="C221" s="8" t="s">
        <v>7</v>
      </c>
      <c r="D221" s="9">
        <v>3705</v>
      </c>
      <c r="E221" s="9">
        <v>13214</v>
      </c>
      <c r="F221" s="9">
        <f>SUM(D221:E221)</f>
        <v>16919</v>
      </c>
      <c r="G221" s="14">
        <f>F221/(F221+F220)</f>
        <v>0.49564962648308186</v>
      </c>
      <c r="H221" s="53"/>
      <c r="I221" s="9">
        <v>17603</v>
      </c>
      <c r="J221" s="23">
        <f>I221/(I221+I220)</f>
        <v>0.39323131911091252</v>
      </c>
      <c r="K221" s="53"/>
      <c r="L221" s="9">
        <v>34644</v>
      </c>
      <c r="M221" s="14">
        <f>L221/(L221+L220)</f>
        <v>0.43772268971268291</v>
      </c>
      <c r="N221" s="55"/>
    </row>
    <row r="222" spans="1:14" ht="17.5" thickTop="1" x14ac:dyDescent="0.45">
      <c r="A222" s="47"/>
      <c r="B222" s="65" t="s">
        <v>120</v>
      </c>
      <c r="C222" s="10" t="s">
        <v>6</v>
      </c>
      <c r="D222" s="11">
        <v>2100</v>
      </c>
      <c r="E222" s="11">
        <v>14459</v>
      </c>
      <c r="F222" s="11">
        <f>SUM(D222:E222)</f>
        <v>16559</v>
      </c>
      <c r="G222" s="15">
        <v>0.4163</v>
      </c>
      <c r="H222" s="52">
        <f>G223-G222</f>
        <v>8.6199999999999943E-2</v>
      </c>
      <c r="I222" s="11">
        <v>21236</v>
      </c>
      <c r="J222" s="24">
        <v>0.48480000000000001</v>
      </c>
      <c r="K222" s="52">
        <f>J223-J222</f>
        <v>-6.5900000000000014E-2</v>
      </c>
      <c r="L222" s="11">
        <v>37906</v>
      </c>
      <c r="M222" s="15">
        <v>0.4521</v>
      </c>
      <c r="N222" s="54">
        <f>M223-M222</f>
        <v>6.7999999999999727E-3</v>
      </c>
    </row>
    <row r="223" spans="1:14" ht="17.5" thickBot="1" x14ac:dyDescent="0.5">
      <c r="A223" s="47"/>
      <c r="B223" s="66"/>
      <c r="C223" s="8" t="s">
        <v>7</v>
      </c>
      <c r="D223" s="9">
        <v>2597</v>
      </c>
      <c r="E223" s="9">
        <v>17390</v>
      </c>
      <c r="F223" s="9">
        <f>SUM(D223:E223)</f>
        <v>19987</v>
      </c>
      <c r="G223" s="14">
        <v>0.50249999999999995</v>
      </c>
      <c r="H223" s="53"/>
      <c r="I223" s="9">
        <v>18348</v>
      </c>
      <c r="J223" s="23">
        <v>0.41889999999999999</v>
      </c>
      <c r="K223" s="53"/>
      <c r="L223" s="9">
        <v>38474</v>
      </c>
      <c r="M223" s="14">
        <v>0.45889999999999997</v>
      </c>
      <c r="N223" s="55"/>
    </row>
    <row r="224" spans="1:14" ht="17.5" thickTop="1" x14ac:dyDescent="0.45">
      <c r="A224" s="47"/>
      <c r="B224" s="58" t="s">
        <v>127</v>
      </c>
      <c r="C224" s="10" t="s">
        <v>6</v>
      </c>
      <c r="D224" s="11"/>
      <c r="E224" s="11"/>
      <c r="F224" s="11"/>
      <c r="G224" s="15"/>
      <c r="H224" s="52"/>
      <c r="I224" s="11"/>
      <c r="J224" s="24"/>
      <c r="K224" s="52"/>
      <c r="L224" s="11"/>
      <c r="M224" s="15"/>
      <c r="N224" s="54"/>
    </row>
    <row r="225" spans="1:14" ht="17.5" thickBot="1" x14ac:dyDescent="0.5">
      <c r="A225" s="47"/>
      <c r="B225" s="59"/>
      <c r="C225" s="8" t="s">
        <v>7</v>
      </c>
      <c r="D225" s="9"/>
      <c r="E225" s="9"/>
      <c r="F225" s="9"/>
      <c r="G225" s="14"/>
      <c r="H225" s="53"/>
      <c r="I225" s="9"/>
      <c r="J225" s="23"/>
      <c r="K225" s="53"/>
      <c r="L225" s="9"/>
      <c r="M225" s="14"/>
      <c r="N225" s="55"/>
    </row>
    <row r="226" spans="1:14" ht="17.5" thickTop="1" x14ac:dyDescent="0.45">
      <c r="A226" s="47"/>
      <c r="B226" s="58" t="s">
        <v>128</v>
      </c>
      <c r="C226" s="10" t="s">
        <v>6</v>
      </c>
      <c r="D226" s="11">
        <v>6266</v>
      </c>
      <c r="E226" s="11">
        <v>21950</v>
      </c>
      <c r="F226" s="11">
        <f>SUM(D226:E226)</f>
        <v>28216</v>
      </c>
      <c r="G226" s="15">
        <f>F226/(F226+F227)</f>
        <v>0.48052589451455235</v>
      </c>
      <c r="H226" s="52">
        <f>G227-G226</f>
        <v>3.8948210970895236E-2</v>
      </c>
      <c r="I226" s="11">
        <v>38590</v>
      </c>
      <c r="J226" s="24">
        <f>I226/(I226+I227)</f>
        <v>0.58363581367211126</v>
      </c>
      <c r="K226" s="52">
        <f>J227-J226</f>
        <v>-0.16727162734422257</v>
      </c>
      <c r="L226" s="11">
        <v>67044</v>
      </c>
      <c r="M226" s="15">
        <f>L226/(L226+L227)</f>
        <v>0.53485014080462068</v>
      </c>
      <c r="N226" s="54">
        <f>M227-M226</f>
        <v>-6.9700281609241299E-2</v>
      </c>
    </row>
    <row r="227" spans="1:14" ht="17.5" thickBot="1" x14ac:dyDescent="0.5">
      <c r="A227" s="48"/>
      <c r="B227" s="59"/>
      <c r="C227" s="8" t="s">
        <v>7</v>
      </c>
      <c r="D227" s="9">
        <v>7370</v>
      </c>
      <c r="E227" s="9">
        <v>23133</v>
      </c>
      <c r="F227" s="9">
        <f>SUM(D227:E227)</f>
        <v>30503</v>
      </c>
      <c r="G227" s="14">
        <f>F227/(F227+F226)</f>
        <v>0.51947410548544759</v>
      </c>
      <c r="H227" s="53"/>
      <c r="I227" s="9">
        <v>27530</v>
      </c>
      <c r="J227" s="23">
        <f>I227/(I227+I226)</f>
        <v>0.41636418632788869</v>
      </c>
      <c r="K227" s="53"/>
      <c r="L227" s="9">
        <v>58307</v>
      </c>
      <c r="M227" s="14">
        <f>L227/(L227+L226)</f>
        <v>0.46514985919537938</v>
      </c>
      <c r="N227" s="55"/>
    </row>
    <row r="228" spans="1:14" ht="17.5" thickTop="1" x14ac:dyDescent="0.45">
      <c r="A228" s="46" t="s">
        <v>133</v>
      </c>
      <c r="B228" s="58" t="s">
        <v>134</v>
      </c>
      <c r="C228" s="10" t="s">
        <v>6</v>
      </c>
      <c r="D228" s="11"/>
      <c r="E228" s="11"/>
      <c r="F228" s="11"/>
      <c r="G228" s="15"/>
      <c r="H228" s="52"/>
      <c r="I228" s="11"/>
      <c r="J228" s="24"/>
      <c r="K228" s="52"/>
      <c r="L228" s="11"/>
      <c r="M228" s="15"/>
      <c r="N228" s="54"/>
    </row>
    <row r="229" spans="1:14" ht="17.5" thickBot="1" x14ac:dyDescent="0.5">
      <c r="A229" s="47"/>
      <c r="B229" s="59"/>
      <c r="C229" s="8" t="s">
        <v>7</v>
      </c>
      <c r="D229" s="9"/>
      <c r="E229" s="9"/>
      <c r="F229" s="9"/>
      <c r="G229" s="14"/>
      <c r="H229" s="53"/>
      <c r="I229" s="9"/>
      <c r="J229" s="23"/>
      <c r="K229" s="53"/>
      <c r="L229" s="9"/>
      <c r="M229" s="14"/>
      <c r="N229" s="55"/>
    </row>
    <row r="230" spans="1:14" ht="17.5" thickTop="1" x14ac:dyDescent="0.45">
      <c r="A230" s="47"/>
      <c r="B230" s="65" t="s">
        <v>135</v>
      </c>
      <c r="C230" s="10" t="s">
        <v>6</v>
      </c>
      <c r="D230" s="11">
        <v>3770</v>
      </c>
      <c r="E230" s="11">
        <v>10296</v>
      </c>
      <c r="F230" s="11">
        <f t="shared" ref="F230:F264" si="15">SUM(D230:E230)</f>
        <v>14066</v>
      </c>
      <c r="G230" s="15">
        <v>0.32029999999999997</v>
      </c>
      <c r="H230" s="52">
        <f>G231-G230</f>
        <v>0.30240000000000006</v>
      </c>
      <c r="I230" s="11">
        <v>18941</v>
      </c>
      <c r="J230" s="24">
        <v>0.43169999999999997</v>
      </c>
      <c r="K230" s="52">
        <f>J231-J230</f>
        <v>6.8400000000000016E-2</v>
      </c>
      <c r="L230" s="11">
        <v>33148</v>
      </c>
      <c r="M230" s="15">
        <v>0.37540000000000001</v>
      </c>
      <c r="N230" s="54">
        <f>M231-M230</f>
        <v>0.18660000000000004</v>
      </c>
    </row>
    <row r="231" spans="1:14" ht="17.5" thickBot="1" x14ac:dyDescent="0.5">
      <c r="A231" s="48"/>
      <c r="B231" s="66"/>
      <c r="C231" s="8" t="s">
        <v>7</v>
      </c>
      <c r="D231" s="9">
        <v>7209</v>
      </c>
      <c r="E231" s="9">
        <v>20139</v>
      </c>
      <c r="F231" s="9">
        <f t="shared" si="15"/>
        <v>27348</v>
      </c>
      <c r="G231" s="14">
        <v>0.62270000000000003</v>
      </c>
      <c r="H231" s="53"/>
      <c r="I231" s="9">
        <v>21944</v>
      </c>
      <c r="J231" s="23">
        <v>0.50009999999999999</v>
      </c>
      <c r="K231" s="53"/>
      <c r="L231" s="9">
        <v>49621</v>
      </c>
      <c r="M231" s="14">
        <v>0.56200000000000006</v>
      </c>
      <c r="N231" s="55"/>
    </row>
    <row r="232" spans="1:14" ht="17.5" thickTop="1" x14ac:dyDescent="0.45">
      <c r="A232" s="46" t="s">
        <v>136</v>
      </c>
      <c r="B232" s="65" t="s">
        <v>137</v>
      </c>
      <c r="C232" s="10" t="s">
        <v>6</v>
      </c>
      <c r="D232" s="11">
        <v>4845</v>
      </c>
      <c r="E232" s="11">
        <v>16770</v>
      </c>
      <c r="F232" s="11">
        <f t="shared" si="15"/>
        <v>21615</v>
      </c>
      <c r="G232" s="15">
        <v>0.3649</v>
      </c>
      <c r="H232" s="52">
        <f>G233-G232</f>
        <v>0.24949999999999994</v>
      </c>
      <c r="I232" s="11">
        <v>35473</v>
      </c>
      <c r="J232" s="24">
        <v>0.46650000000000003</v>
      </c>
      <c r="K232" s="52">
        <f>J233-J232</f>
        <v>4.269999999999996E-2</v>
      </c>
      <c r="L232" s="11">
        <v>57366</v>
      </c>
      <c r="M232" s="15">
        <v>0.42170000000000002</v>
      </c>
      <c r="N232" s="54">
        <f>M233-M232</f>
        <v>0.13379999999999997</v>
      </c>
    </row>
    <row r="233" spans="1:14" ht="17.5" thickBot="1" x14ac:dyDescent="0.5">
      <c r="A233" s="47"/>
      <c r="B233" s="66"/>
      <c r="C233" s="8" t="s">
        <v>7</v>
      </c>
      <c r="D233" s="9">
        <v>9245</v>
      </c>
      <c r="E233" s="9">
        <v>27153</v>
      </c>
      <c r="F233" s="9">
        <f t="shared" si="15"/>
        <v>36398</v>
      </c>
      <c r="G233" s="14">
        <v>0.61439999999999995</v>
      </c>
      <c r="H233" s="53"/>
      <c r="I233" s="9">
        <v>38720</v>
      </c>
      <c r="J233" s="23">
        <v>0.50919999999999999</v>
      </c>
      <c r="K233" s="53"/>
      <c r="L233" s="9">
        <v>75562</v>
      </c>
      <c r="M233" s="14">
        <v>0.55549999999999999</v>
      </c>
      <c r="N233" s="55"/>
    </row>
    <row r="234" spans="1:14" ht="17.5" thickTop="1" x14ac:dyDescent="0.45">
      <c r="A234" s="47"/>
      <c r="B234" s="65" t="s">
        <v>138</v>
      </c>
      <c r="C234" s="10" t="s">
        <v>6</v>
      </c>
      <c r="D234" s="11">
        <v>5263</v>
      </c>
      <c r="E234" s="11">
        <v>13622</v>
      </c>
      <c r="F234" s="11">
        <f t="shared" si="15"/>
        <v>18885</v>
      </c>
      <c r="G234" s="15">
        <f>F234/(F234+F235)</f>
        <v>0.32237414861473856</v>
      </c>
      <c r="H234" s="52">
        <f>G235-G234</f>
        <v>0.35525170277052287</v>
      </c>
      <c r="I234" s="11">
        <v>34642</v>
      </c>
      <c r="J234" s="24">
        <f>I234/(I234+I235)</f>
        <v>0.4267990685869873</v>
      </c>
      <c r="K234" s="52">
        <f>J235-J234</f>
        <v>0.14640186282602535</v>
      </c>
      <c r="L234" s="11">
        <v>53720</v>
      </c>
      <c r="M234" s="15">
        <f>L234/(L234+L235)</f>
        <v>0.38262925845993861</v>
      </c>
      <c r="N234" s="54">
        <f>M235-M234</f>
        <v>0.23474148308012283</v>
      </c>
    </row>
    <row r="235" spans="1:14" ht="17.5" thickBot="1" x14ac:dyDescent="0.5">
      <c r="A235" s="47"/>
      <c r="B235" s="66"/>
      <c r="C235" s="8" t="s">
        <v>7</v>
      </c>
      <c r="D235" s="9">
        <v>11271</v>
      </c>
      <c r="E235" s="9">
        <v>28425</v>
      </c>
      <c r="F235" s="9">
        <f t="shared" si="15"/>
        <v>39696</v>
      </c>
      <c r="G235" s="14">
        <f>F235/(F235+F234)</f>
        <v>0.67762585138526144</v>
      </c>
      <c r="H235" s="53"/>
      <c r="I235" s="9">
        <v>46525</v>
      </c>
      <c r="J235" s="23">
        <f>I235/(I235+I234)</f>
        <v>0.57320093141301265</v>
      </c>
      <c r="K235" s="53"/>
      <c r="L235" s="9">
        <v>86677</v>
      </c>
      <c r="M235" s="14">
        <f>L235/(L235+L234)</f>
        <v>0.61737074154006144</v>
      </c>
      <c r="N235" s="55"/>
    </row>
    <row r="236" spans="1:14" ht="17.5" thickTop="1" x14ac:dyDescent="0.45">
      <c r="A236" s="47"/>
      <c r="B236" s="65" t="s">
        <v>139</v>
      </c>
      <c r="C236" s="10" t="s">
        <v>6</v>
      </c>
      <c r="D236" s="11">
        <v>4996</v>
      </c>
      <c r="E236" s="11">
        <v>14686</v>
      </c>
      <c r="F236" s="11">
        <f t="shared" si="15"/>
        <v>19682</v>
      </c>
      <c r="G236" s="15">
        <f>F236/(F236+F237)</f>
        <v>0.40137039378428535</v>
      </c>
      <c r="H236" s="52">
        <f>G237-G236</f>
        <v>0.19725921243142935</v>
      </c>
      <c r="I236" s="11">
        <v>30241</v>
      </c>
      <c r="J236" s="24">
        <f>I236/(I236+I237)</f>
        <v>0.46511019855734476</v>
      </c>
      <c r="K236" s="52">
        <f>J237-J236</f>
        <v>6.9779602885310432E-2</v>
      </c>
      <c r="L236" s="11">
        <v>51897</v>
      </c>
      <c r="M236" s="15">
        <f>L236/(L236+L237)</f>
        <v>0.44584285493376402</v>
      </c>
      <c r="N236" s="54">
        <f>M237-M236</f>
        <v>0.1083142901324719</v>
      </c>
    </row>
    <row r="237" spans="1:14" ht="17.5" thickBot="1" x14ac:dyDescent="0.5">
      <c r="A237" s="47"/>
      <c r="B237" s="66"/>
      <c r="C237" s="8" t="s">
        <v>7</v>
      </c>
      <c r="D237" s="9">
        <v>8818</v>
      </c>
      <c r="E237" s="9">
        <v>20537</v>
      </c>
      <c r="F237" s="9">
        <f t="shared" si="15"/>
        <v>29355</v>
      </c>
      <c r="G237" s="14">
        <f>F237/(F237+F236)</f>
        <v>0.5986296062157147</v>
      </c>
      <c r="H237" s="53"/>
      <c r="I237" s="9">
        <v>34778</v>
      </c>
      <c r="J237" s="23">
        <f>I237/(I237+I236)</f>
        <v>0.53488980144265519</v>
      </c>
      <c r="K237" s="53"/>
      <c r="L237" s="9">
        <v>64505</v>
      </c>
      <c r="M237" s="14">
        <f>L237/(L237+L236)</f>
        <v>0.55415714506623592</v>
      </c>
      <c r="N237" s="55"/>
    </row>
    <row r="238" spans="1:14" ht="17.5" thickTop="1" x14ac:dyDescent="0.45">
      <c r="A238" s="47"/>
      <c r="B238" s="65" t="s">
        <v>140</v>
      </c>
      <c r="C238" s="10" t="s">
        <v>6</v>
      </c>
      <c r="D238" s="11">
        <v>7299</v>
      </c>
      <c r="E238" s="11">
        <v>17645</v>
      </c>
      <c r="F238" s="11">
        <f t="shared" si="15"/>
        <v>24944</v>
      </c>
      <c r="G238" s="15">
        <f>F238/(F238+F239)</f>
        <v>0.42255763920651862</v>
      </c>
      <c r="H238" s="52">
        <f>G239-G238</f>
        <v>0.15488472158696281</v>
      </c>
      <c r="I238" s="11">
        <v>42309</v>
      </c>
      <c r="J238" s="24">
        <f>I238/(I238+I239)</f>
        <v>0.5448539638386648</v>
      </c>
      <c r="K238" s="52">
        <f>J239-J238</f>
        <v>-8.9707927677329602E-2</v>
      </c>
      <c r="L238" s="11">
        <v>67504</v>
      </c>
      <c r="M238" s="15">
        <f>L238/(L238+L239)</f>
        <v>0.4913491283619027</v>
      </c>
      <c r="N238" s="54">
        <f>M239-M238</f>
        <v>1.7301743276194603E-2</v>
      </c>
    </row>
    <row r="239" spans="1:14" ht="17.5" thickBot="1" x14ac:dyDescent="0.5">
      <c r="A239" s="47"/>
      <c r="B239" s="66"/>
      <c r="C239" s="8" t="s">
        <v>7</v>
      </c>
      <c r="D239" s="9">
        <v>10176</v>
      </c>
      <c r="E239" s="9">
        <v>23911</v>
      </c>
      <c r="F239" s="9">
        <f t="shared" si="15"/>
        <v>34087</v>
      </c>
      <c r="G239" s="14">
        <f>F239/(F239+F238)</f>
        <v>0.57744236079348144</v>
      </c>
      <c r="H239" s="53"/>
      <c r="I239" s="9">
        <v>35343</v>
      </c>
      <c r="J239" s="23">
        <f>I239/(I239+I238)</f>
        <v>0.4551460361613352</v>
      </c>
      <c r="K239" s="53"/>
      <c r="L239" s="9">
        <v>69881</v>
      </c>
      <c r="M239" s="14">
        <f>L239/(L239+L238)</f>
        <v>0.5086508716380973</v>
      </c>
      <c r="N239" s="55"/>
    </row>
    <row r="240" spans="1:14" ht="17.5" thickTop="1" x14ac:dyDescent="0.45">
      <c r="A240" s="47"/>
      <c r="B240" s="65" t="s">
        <v>141</v>
      </c>
      <c r="C240" s="10" t="s">
        <v>6</v>
      </c>
      <c r="D240" s="11">
        <v>5935</v>
      </c>
      <c r="E240" s="11">
        <v>17328</v>
      </c>
      <c r="F240" s="11">
        <f t="shared" si="15"/>
        <v>23263</v>
      </c>
      <c r="G240" s="15">
        <f>F240/(F240+F241)</f>
        <v>0.35603544590520209</v>
      </c>
      <c r="H240" s="52">
        <f>G241-G240</f>
        <v>0.28792910818959583</v>
      </c>
      <c r="I240" s="11">
        <v>37446</v>
      </c>
      <c r="J240" s="24">
        <f>I240/(I240+I241)</f>
        <v>0.45358851674641149</v>
      </c>
      <c r="K240" s="52">
        <f>J241-J240</f>
        <v>9.2822966507177085E-2</v>
      </c>
      <c r="L240" s="11">
        <v>60905</v>
      </c>
      <c r="M240" s="15">
        <f>L240/(L240+L241)</f>
        <v>0.40994144174463215</v>
      </c>
      <c r="N240" s="54">
        <f>M241-M240</f>
        <v>0.18011711651073564</v>
      </c>
    </row>
    <row r="241" spans="1:14" ht="17.5" thickBot="1" x14ac:dyDescent="0.5">
      <c r="A241" s="47"/>
      <c r="B241" s="66"/>
      <c r="C241" s="8" t="s">
        <v>7</v>
      </c>
      <c r="D241" s="9">
        <v>11104</v>
      </c>
      <c r="E241" s="9">
        <v>30972</v>
      </c>
      <c r="F241" s="9">
        <f t="shared" si="15"/>
        <v>42076</v>
      </c>
      <c r="G241" s="14">
        <f>F241/(F241+F240)</f>
        <v>0.64396455409479791</v>
      </c>
      <c r="H241" s="53"/>
      <c r="I241" s="9">
        <v>45109</v>
      </c>
      <c r="J241" s="23">
        <f>I241/(I241+I240)</f>
        <v>0.54641148325358857</v>
      </c>
      <c r="K241" s="53"/>
      <c r="L241" s="9">
        <v>87665</v>
      </c>
      <c r="M241" s="14">
        <f>L241/(L241+L240)</f>
        <v>0.59005855825536779</v>
      </c>
      <c r="N241" s="55"/>
    </row>
    <row r="242" spans="1:14" ht="17.5" thickTop="1" x14ac:dyDescent="0.45">
      <c r="A242" s="47"/>
      <c r="B242" s="65" t="s">
        <v>142</v>
      </c>
      <c r="C242" s="10" t="s">
        <v>6</v>
      </c>
      <c r="D242" s="11">
        <v>6114</v>
      </c>
      <c r="E242" s="11">
        <v>18732</v>
      </c>
      <c r="F242" s="11">
        <f t="shared" si="15"/>
        <v>24846</v>
      </c>
      <c r="G242" s="15">
        <f>F242/(F242+F243)</f>
        <v>0.36338374235820636</v>
      </c>
      <c r="H242" s="52">
        <f>G243-G242</f>
        <v>0.27323251528358727</v>
      </c>
      <c r="I242" s="11">
        <v>32490</v>
      </c>
      <c r="J242" s="24">
        <f>I242/(I242+I243)</f>
        <v>0.46853368712505766</v>
      </c>
      <c r="K242" s="52">
        <f>J243-J242</f>
        <v>6.2932625749884619E-2</v>
      </c>
      <c r="L242" s="11">
        <v>57539</v>
      </c>
      <c r="M242" s="15">
        <f>L242/(L242+L243)</f>
        <v>0.41582233656611789</v>
      </c>
      <c r="N242" s="54">
        <f>M243-M242</f>
        <v>0.16835532686776422</v>
      </c>
    </row>
    <row r="243" spans="1:14" ht="17.5" thickBot="1" x14ac:dyDescent="0.5">
      <c r="A243" s="47"/>
      <c r="B243" s="66"/>
      <c r="C243" s="8" t="s">
        <v>7</v>
      </c>
      <c r="D243" s="9">
        <v>11006</v>
      </c>
      <c r="E243" s="9">
        <v>32522</v>
      </c>
      <c r="F243" s="9">
        <f t="shared" si="15"/>
        <v>43528</v>
      </c>
      <c r="G243" s="14">
        <f>F243/(F243+F242)</f>
        <v>0.63661625764179364</v>
      </c>
      <c r="H243" s="53"/>
      <c r="I243" s="9">
        <v>36854</v>
      </c>
      <c r="J243" s="23">
        <f>I243/(I243+I242)</f>
        <v>0.53146631287494228</v>
      </c>
      <c r="K243" s="53"/>
      <c r="L243" s="9">
        <v>80835</v>
      </c>
      <c r="M243" s="14">
        <f>L243/(L243+L242)</f>
        <v>0.58417766343388211</v>
      </c>
      <c r="N243" s="55"/>
    </row>
    <row r="244" spans="1:14" ht="17.5" thickTop="1" x14ac:dyDescent="0.45">
      <c r="A244" s="47"/>
      <c r="B244" s="65" t="s">
        <v>143</v>
      </c>
      <c r="C244" s="10" t="s">
        <v>6</v>
      </c>
      <c r="D244" s="11">
        <v>5653</v>
      </c>
      <c r="E244" s="11">
        <v>15137</v>
      </c>
      <c r="F244" s="11">
        <f t="shared" si="15"/>
        <v>20790</v>
      </c>
      <c r="G244" s="15">
        <f>F244/(F244+F245)</f>
        <v>0.34957627118644069</v>
      </c>
      <c r="H244" s="52">
        <f>G245-G244</f>
        <v>0.30084745762711868</v>
      </c>
      <c r="I244" s="11">
        <v>27946</v>
      </c>
      <c r="J244" s="24">
        <f>I244/(I244+I245)</f>
        <v>0.44632190883827899</v>
      </c>
      <c r="K244" s="52">
        <f>J245-J244</f>
        <v>0.10735618232344207</v>
      </c>
      <c r="L244" s="11">
        <v>48868</v>
      </c>
      <c r="M244" s="15">
        <f>L244/(L244+L245)</f>
        <v>0.39882803254739696</v>
      </c>
      <c r="N244" s="54">
        <f>M245-M244</f>
        <v>0.20234393490520608</v>
      </c>
    </row>
    <row r="245" spans="1:14" ht="17.5" thickBot="1" x14ac:dyDescent="0.5">
      <c r="A245" s="47"/>
      <c r="B245" s="66"/>
      <c r="C245" s="8" t="s">
        <v>7</v>
      </c>
      <c r="D245" s="9">
        <v>11003</v>
      </c>
      <c r="E245" s="9">
        <v>27679</v>
      </c>
      <c r="F245" s="9">
        <f t="shared" si="15"/>
        <v>38682</v>
      </c>
      <c r="G245" s="14">
        <f>F245/(F245+F244)</f>
        <v>0.65042372881355937</v>
      </c>
      <c r="H245" s="53"/>
      <c r="I245" s="9">
        <v>34668</v>
      </c>
      <c r="J245" s="23">
        <f>I245/(I245+I244)</f>
        <v>0.55367809116172106</v>
      </c>
      <c r="K245" s="53"/>
      <c r="L245" s="9">
        <v>73661</v>
      </c>
      <c r="M245" s="14">
        <f>L245/(L245+L244)</f>
        <v>0.60117196745260304</v>
      </c>
      <c r="N245" s="55"/>
    </row>
    <row r="246" spans="1:14" ht="17.5" thickTop="1" x14ac:dyDescent="0.45">
      <c r="A246" s="47"/>
      <c r="B246" s="58" t="s">
        <v>144</v>
      </c>
      <c r="C246" s="10" t="s">
        <v>6</v>
      </c>
      <c r="D246" s="11">
        <v>7509</v>
      </c>
      <c r="E246" s="11">
        <v>25537</v>
      </c>
      <c r="F246" s="11">
        <f t="shared" si="15"/>
        <v>33046</v>
      </c>
      <c r="G246" s="15">
        <f>F246/(F246+F247)</f>
        <v>0.4557691777232229</v>
      </c>
      <c r="H246" s="52">
        <f>G247-G246</f>
        <v>8.8461644553554208E-2</v>
      </c>
      <c r="I246" s="11">
        <v>53753</v>
      </c>
      <c r="J246" s="24">
        <f>I246/(I246+I247)</f>
        <v>0.59612953310413663</v>
      </c>
      <c r="K246" s="52">
        <f>J247-J246</f>
        <v>-0.19225906620827327</v>
      </c>
      <c r="L246" s="11">
        <v>87315</v>
      </c>
      <c r="M246" s="15">
        <f>L246/(L246+L247)</f>
        <v>0.5327561274734125</v>
      </c>
      <c r="N246" s="54">
        <f>M247-M246</f>
        <v>-6.5512254946825055E-2</v>
      </c>
    </row>
    <row r="247" spans="1:14" ht="17.5" thickBot="1" x14ac:dyDescent="0.5">
      <c r="A247" s="47"/>
      <c r="B247" s="59"/>
      <c r="C247" s="8" t="s">
        <v>7</v>
      </c>
      <c r="D247" s="9">
        <v>8375</v>
      </c>
      <c r="E247" s="9">
        <v>31085</v>
      </c>
      <c r="F247" s="9">
        <f t="shared" si="15"/>
        <v>39460</v>
      </c>
      <c r="G247" s="14">
        <f>F247/(F247+F246)</f>
        <v>0.5442308222767771</v>
      </c>
      <c r="H247" s="53"/>
      <c r="I247" s="9">
        <v>36417</v>
      </c>
      <c r="J247" s="23">
        <f>I247/(I247+I246)</f>
        <v>0.40387046689586337</v>
      </c>
      <c r="K247" s="53"/>
      <c r="L247" s="9">
        <v>76578</v>
      </c>
      <c r="M247" s="14">
        <f>L247/(L247+L246)</f>
        <v>0.46724387252658744</v>
      </c>
      <c r="N247" s="55"/>
    </row>
    <row r="248" spans="1:14" ht="17.5" thickTop="1" x14ac:dyDescent="0.45">
      <c r="A248" s="47"/>
      <c r="B248" s="58" t="s">
        <v>145</v>
      </c>
      <c r="C248" s="10" t="s">
        <v>6</v>
      </c>
      <c r="D248" s="11">
        <v>6122</v>
      </c>
      <c r="E248" s="11">
        <v>19937</v>
      </c>
      <c r="F248" s="11">
        <f t="shared" si="15"/>
        <v>26059</v>
      </c>
      <c r="G248" s="15">
        <f>F248/(F248+F249)</f>
        <v>0.42762434565713253</v>
      </c>
      <c r="H248" s="52">
        <f>G249-G248</f>
        <v>0.14475130868573488</v>
      </c>
      <c r="I248" s="11">
        <v>42784</v>
      </c>
      <c r="J248" s="24">
        <f>I248/(I248+I249)</f>
        <v>0.58267394827515762</v>
      </c>
      <c r="K248" s="52">
        <f>J249-J248</f>
        <v>-0.16534789655031523</v>
      </c>
      <c r="L248" s="11">
        <v>69259</v>
      </c>
      <c r="M248" s="15">
        <f>L248/(L248+L249)</f>
        <v>0.51130633789819502</v>
      </c>
      <c r="N248" s="54">
        <f>M249-M248</f>
        <v>-2.261267579638998E-2</v>
      </c>
    </row>
    <row r="249" spans="1:14" ht="17.5" thickBot="1" x14ac:dyDescent="0.5">
      <c r="A249" s="47"/>
      <c r="B249" s="59"/>
      <c r="C249" s="8" t="s">
        <v>7</v>
      </c>
      <c r="D249" s="9">
        <v>8834</v>
      </c>
      <c r="E249" s="9">
        <v>26046</v>
      </c>
      <c r="F249" s="9">
        <f t="shared" si="15"/>
        <v>34880</v>
      </c>
      <c r="G249" s="14">
        <f>F249/(F249+F248)</f>
        <v>0.57237565434286741</v>
      </c>
      <c r="H249" s="53"/>
      <c r="I249" s="9">
        <v>30643</v>
      </c>
      <c r="J249" s="23">
        <f>I249/(I249+I248)</f>
        <v>0.41732605172484238</v>
      </c>
      <c r="K249" s="53"/>
      <c r="L249" s="9">
        <v>66196</v>
      </c>
      <c r="M249" s="14">
        <f>L249/(L249+L248)</f>
        <v>0.48869366210180504</v>
      </c>
      <c r="N249" s="55"/>
    </row>
    <row r="250" spans="1:14" ht="17.5" thickTop="1" x14ac:dyDescent="0.45">
      <c r="A250" s="47"/>
      <c r="B250" s="58" t="s">
        <v>146</v>
      </c>
      <c r="C250" s="10" t="s">
        <v>6</v>
      </c>
      <c r="D250" s="11">
        <v>3926</v>
      </c>
      <c r="E250" s="11">
        <v>15811</v>
      </c>
      <c r="F250" s="11">
        <f t="shared" si="15"/>
        <v>19737</v>
      </c>
      <c r="G250" s="15">
        <v>0.38129999999999997</v>
      </c>
      <c r="H250" s="52">
        <f>G251-G250</f>
        <v>0.22170000000000001</v>
      </c>
      <c r="I250" s="11">
        <v>27322</v>
      </c>
      <c r="J250" s="24">
        <v>0.48470000000000002</v>
      </c>
      <c r="K250" s="52">
        <f>J251-J250</f>
        <v>1.3499999999999956E-2</v>
      </c>
      <c r="L250" s="11">
        <v>47221</v>
      </c>
      <c r="M250" s="15">
        <v>0.4345</v>
      </c>
      <c r="N250" s="54">
        <f>M251-M250</f>
        <v>0.11440000000000006</v>
      </c>
    </row>
    <row r="251" spans="1:14" ht="17.5" thickBot="1" x14ac:dyDescent="0.5">
      <c r="A251" s="47"/>
      <c r="B251" s="59"/>
      <c r="C251" s="8" t="s">
        <v>7</v>
      </c>
      <c r="D251" s="9">
        <v>7123</v>
      </c>
      <c r="E251" s="9">
        <v>24089</v>
      </c>
      <c r="F251" s="9">
        <f t="shared" si="15"/>
        <v>31212</v>
      </c>
      <c r="G251" s="14">
        <v>0.60299999999999998</v>
      </c>
      <c r="H251" s="53"/>
      <c r="I251" s="9">
        <v>28081</v>
      </c>
      <c r="J251" s="23">
        <v>0.49819999999999998</v>
      </c>
      <c r="K251" s="53"/>
      <c r="L251" s="9">
        <v>59660</v>
      </c>
      <c r="M251" s="14">
        <v>0.54890000000000005</v>
      </c>
      <c r="N251" s="55"/>
    </row>
    <row r="252" spans="1:14" ht="17.5" thickTop="1" x14ac:dyDescent="0.45">
      <c r="A252" s="47"/>
      <c r="B252" s="65" t="s">
        <v>147</v>
      </c>
      <c r="C252" s="10" t="s">
        <v>6</v>
      </c>
      <c r="D252" s="11">
        <v>5642</v>
      </c>
      <c r="E252" s="11">
        <v>17943</v>
      </c>
      <c r="F252" s="11">
        <f t="shared" si="15"/>
        <v>23585</v>
      </c>
      <c r="G252" s="15">
        <f>F252/(F252+F253)</f>
        <v>0.3869882681105915</v>
      </c>
      <c r="H252" s="52">
        <f>G253-G252</f>
        <v>0.22602346377881699</v>
      </c>
      <c r="I252" s="11">
        <v>40660</v>
      </c>
      <c r="J252" s="24">
        <f>I252/(I252+I253)</f>
        <v>0.49229949631925612</v>
      </c>
      <c r="K252" s="52">
        <f>J253-J252</f>
        <v>1.5401007361487806E-2</v>
      </c>
      <c r="L252" s="11">
        <v>64478</v>
      </c>
      <c r="M252" s="15">
        <f>L252/(L252+L253)</f>
        <v>0.44722039188486212</v>
      </c>
      <c r="N252" s="54">
        <f>M253-M252</f>
        <v>0.1055592162302757</v>
      </c>
    </row>
    <row r="253" spans="1:14" ht="17.5" thickBot="1" x14ac:dyDescent="0.5">
      <c r="A253" s="47"/>
      <c r="B253" s="66"/>
      <c r="C253" s="8" t="s">
        <v>7</v>
      </c>
      <c r="D253" s="9">
        <v>9297</v>
      </c>
      <c r="E253" s="9">
        <v>28063</v>
      </c>
      <c r="F253" s="9">
        <f t="shared" si="15"/>
        <v>37360</v>
      </c>
      <c r="G253" s="14">
        <f>F253/(F253+F252)</f>
        <v>0.6130117318894085</v>
      </c>
      <c r="H253" s="53"/>
      <c r="I253" s="9">
        <v>41932</v>
      </c>
      <c r="J253" s="23">
        <f>I253/(I253+I252)</f>
        <v>0.50770050368074393</v>
      </c>
      <c r="K253" s="53"/>
      <c r="L253" s="9">
        <v>79697</v>
      </c>
      <c r="M253" s="14">
        <f>L253/(L253+L252)</f>
        <v>0.55277960811513782</v>
      </c>
      <c r="N253" s="55"/>
    </row>
    <row r="254" spans="1:14" ht="17.5" thickTop="1" x14ac:dyDescent="0.45">
      <c r="A254" s="47"/>
      <c r="B254" s="65" t="s">
        <v>148</v>
      </c>
      <c r="C254" s="10" t="s">
        <v>6</v>
      </c>
      <c r="D254" s="11">
        <v>4468</v>
      </c>
      <c r="E254" s="11">
        <v>19965</v>
      </c>
      <c r="F254" s="11">
        <f t="shared" si="15"/>
        <v>24433</v>
      </c>
      <c r="G254" s="15">
        <f>F254/(F254+F255)</f>
        <v>0.3740851884741403</v>
      </c>
      <c r="H254" s="52">
        <f>G255-G254</f>
        <v>0.25182962305171941</v>
      </c>
      <c r="I254" s="11">
        <v>35276</v>
      </c>
      <c r="J254" s="24">
        <f>I254/(I254+I255)</f>
        <v>0.48381610708799649</v>
      </c>
      <c r="K254" s="52">
        <f>J255-J254</f>
        <v>3.2367785824007012E-2</v>
      </c>
      <c r="L254" s="11">
        <v>59884</v>
      </c>
      <c r="M254" s="15">
        <f>L254/(L254+L255)</f>
        <v>0.43141605671142874</v>
      </c>
      <c r="N254" s="54">
        <f>M255-M254</f>
        <v>0.13716788657714257</v>
      </c>
    </row>
    <row r="255" spans="1:14" ht="17.5" thickBot="1" x14ac:dyDescent="0.5">
      <c r="A255" s="47"/>
      <c r="B255" s="66"/>
      <c r="C255" s="8" t="s">
        <v>7</v>
      </c>
      <c r="D255" s="9">
        <v>8782</v>
      </c>
      <c r="E255" s="9">
        <v>32099</v>
      </c>
      <c r="F255" s="9">
        <f t="shared" si="15"/>
        <v>40881</v>
      </c>
      <c r="G255" s="14">
        <f>F255/(F255+F254)</f>
        <v>0.6259148115258597</v>
      </c>
      <c r="H255" s="53"/>
      <c r="I255" s="9">
        <v>37636</v>
      </c>
      <c r="J255" s="23">
        <f>I255/(I255+I254)</f>
        <v>0.51618389291200351</v>
      </c>
      <c r="K255" s="53"/>
      <c r="L255" s="9">
        <v>78924</v>
      </c>
      <c r="M255" s="14">
        <f>L255/(L255+L254)</f>
        <v>0.56858394328857131</v>
      </c>
      <c r="N255" s="55"/>
    </row>
    <row r="256" spans="1:14" ht="17.5" thickTop="1" x14ac:dyDescent="0.45">
      <c r="A256" s="47"/>
      <c r="B256" s="65" t="s">
        <v>149</v>
      </c>
      <c r="C256" s="10" t="s">
        <v>6</v>
      </c>
      <c r="D256" s="11">
        <v>3989</v>
      </c>
      <c r="E256" s="11">
        <v>13014</v>
      </c>
      <c r="F256" s="11">
        <f t="shared" si="15"/>
        <v>17003</v>
      </c>
      <c r="G256" s="15">
        <f>F256/(F256+F257)</f>
        <v>0.36706100772850914</v>
      </c>
      <c r="H256" s="52">
        <f>G257-G256</f>
        <v>0.26587798454298173</v>
      </c>
      <c r="I256" s="11">
        <v>25193</v>
      </c>
      <c r="J256" s="24">
        <f>I256/(I256+I257)</f>
        <v>0.48069987979163886</v>
      </c>
      <c r="K256" s="52">
        <f>J257-J256</f>
        <v>3.8600240416722276E-2</v>
      </c>
      <c r="L256" s="11">
        <v>42335</v>
      </c>
      <c r="M256" s="15">
        <f>L256/(L256+L257)</f>
        <v>0.42665228871465138</v>
      </c>
      <c r="N256" s="54">
        <f>M257-M256</f>
        <v>0.14669542257069718</v>
      </c>
    </row>
    <row r="257" spans="1:14" ht="17.5" thickBot="1" x14ac:dyDescent="0.5">
      <c r="A257" s="47"/>
      <c r="B257" s="66"/>
      <c r="C257" s="8" t="s">
        <v>7</v>
      </c>
      <c r="D257" s="9">
        <v>7156</v>
      </c>
      <c r="E257" s="9">
        <v>22163</v>
      </c>
      <c r="F257" s="9">
        <f t="shared" si="15"/>
        <v>29319</v>
      </c>
      <c r="G257" s="14">
        <f>F257/(F257+F256)</f>
        <v>0.63293899227149086</v>
      </c>
      <c r="H257" s="53"/>
      <c r="I257" s="9">
        <v>27216</v>
      </c>
      <c r="J257" s="23">
        <f>I257/(I257+I256)</f>
        <v>0.51930012020836114</v>
      </c>
      <c r="K257" s="53"/>
      <c r="L257" s="9">
        <v>56891</v>
      </c>
      <c r="M257" s="14">
        <f>L257/(L257+L256)</f>
        <v>0.57334771128534856</v>
      </c>
      <c r="N257" s="55"/>
    </row>
    <row r="258" spans="1:14" ht="17.5" thickTop="1" x14ac:dyDescent="0.45">
      <c r="A258" s="47"/>
      <c r="B258" s="65" t="s">
        <v>150</v>
      </c>
      <c r="C258" s="39" t="s">
        <v>6</v>
      </c>
      <c r="D258" s="40">
        <v>3809</v>
      </c>
      <c r="E258" s="40">
        <v>14144</v>
      </c>
      <c r="F258" s="40">
        <f t="shared" si="15"/>
        <v>17953</v>
      </c>
      <c r="G258" s="41">
        <f>F258/(F258+F259)</f>
        <v>0.39580669341681735</v>
      </c>
      <c r="H258" s="60">
        <f>G259-G258</f>
        <v>0.20838661316636536</v>
      </c>
      <c r="I258" s="40">
        <v>26634</v>
      </c>
      <c r="J258" s="41">
        <f>I258/(I258+I259)</f>
        <v>0.52060203283815476</v>
      </c>
      <c r="K258" s="60">
        <f>J259-J258</f>
        <v>-4.1204065676309576E-2</v>
      </c>
      <c r="L258" s="40">
        <v>44751</v>
      </c>
      <c r="M258" s="41">
        <f>L258/(L258+L259)</f>
        <v>0.461355271703832</v>
      </c>
      <c r="N258" s="60">
        <f>M259-M258</f>
        <v>7.7289456592336048E-2</v>
      </c>
    </row>
    <row r="259" spans="1:14" ht="17.5" thickBot="1" x14ac:dyDescent="0.5">
      <c r="A259" s="47"/>
      <c r="B259" s="66"/>
      <c r="C259" s="42" t="s">
        <v>7</v>
      </c>
      <c r="D259" s="37">
        <v>5935</v>
      </c>
      <c r="E259" s="37">
        <v>21470</v>
      </c>
      <c r="F259" s="37">
        <f t="shared" si="15"/>
        <v>27405</v>
      </c>
      <c r="G259" s="38">
        <f>F259/(F259+F258)</f>
        <v>0.60419330658318271</v>
      </c>
      <c r="H259" s="61"/>
      <c r="I259" s="37">
        <v>24526</v>
      </c>
      <c r="J259" s="38">
        <f>I259/(I259+I258)</f>
        <v>0.47939796716184518</v>
      </c>
      <c r="K259" s="61"/>
      <c r="L259" s="37">
        <v>52248</v>
      </c>
      <c r="M259" s="38">
        <f>L259/(L259+L258)</f>
        <v>0.53864472829616805</v>
      </c>
      <c r="N259" s="61"/>
    </row>
    <row r="260" spans="1:14" ht="17.5" thickTop="1" x14ac:dyDescent="0.45">
      <c r="A260" s="47"/>
      <c r="B260" s="65" t="s">
        <v>151</v>
      </c>
      <c r="C260" s="10" t="s">
        <v>6</v>
      </c>
      <c r="D260" s="11">
        <v>4683</v>
      </c>
      <c r="E260" s="11">
        <v>15755</v>
      </c>
      <c r="F260" s="11">
        <f t="shared" si="15"/>
        <v>20438</v>
      </c>
      <c r="G260" s="15">
        <f>F260/(F260+F261)</f>
        <v>0.33062637504853115</v>
      </c>
      <c r="H260" s="52">
        <f>G261-G260</f>
        <v>0.33874724990293775</v>
      </c>
      <c r="I260" s="11">
        <v>33955</v>
      </c>
      <c r="J260" s="24">
        <f>I260/(I260+I261)</f>
        <v>0.43535400158986587</v>
      </c>
      <c r="K260" s="52">
        <f>J261-J260</f>
        <v>0.12929199682026821</v>
      </c>
      <c r="L260" s="11">
        <v>54556</v>
      </c>
      <c r="M260" s="15">
        <f>L260/(L260+L261)</f>
        <v>0.38865577647804744</v>
      </c>
      <c r="N260" s="54">
        <f>M261-M260</f>
        <v>0.22268844704390506</v>
      </c>
    </row>
    <row r="261" spans="1:14" ht="17.5" thickBot="1" x14ac:dyDescent="0.5">
      <c r="A261" s="47"/>
      <c r="B261" s="66"/>
      <c r="C261" s="8" t="s">
        <v>7</v>
      </c>
      <c r="D261" s="9">
        <v>9854</v>
      </c>
      <c r="E261" s="9">
        <v>31524</v>
      </c>
      <c r="F261" s="9">
        <f t="shared" si="15"/>
        <v>41378</v>
      </c>
      <c r="G261" s="14">
        <f>F261/(F261+F260)</f>
        <v>0.6693736249514689</v>
      </c>
      <c r="H261" s="53"/>
      <c r="I261" s="9">
        <v>44039</v>
      </c>
      <c r="J261" s="23">
        <f>I261/(I261+I260)</f>
        <v>0.56464599841013408</v>
      </c>
      <c r="K261" s="53"/>
      <c r="L261" s="9">
        <v>85815</v>
      </c>
      <c r="M261" s="14">
        <f>L261/(L261+L260)</f>
        <v>0.6113442235219525</v>
      </c>
      <c r="N261" s="55"/>
    </row>
    <row r="262" spans="1:14" ht="17.5" thickTop="1" x14ac:dyDescent="0.45">
      <c r="A262" s="47"/>
      <c r="B262" s="65" t="s">
        <v>152</v>
      </c>
      <c r="C262" s="10" t="s">
        <v>6</v>
      </c>
      <c r="D262" s="11">
        <v>9205</v>
      </c>
      <c r="E262" s="11">
        <v>17152</v>
      </c>
      <c r="F262" s="11">
        <f t="shared" si="15"/>
        <v>26357</v>
      </c>
      <c r="G262" s="15">
        <v>0.39150000000000001</v>
      </c>
      <c r="H262" s="52">
        <f>G263-G262</f>
        <v>0.22779999999999995</v>
      </c>
      <c r="I262" s="11">
        <v>29447</v>
      </c>
      <c r="J262" s="24">
        <v>0.37019999999999997</v>
      </c>
      <c r="K262" s="52">
        <f>J263-J262</f>
        <v>0.13690000000000002</v>
      </c>
      <c r="L262" s="11">
        <v>55975</v>
      </c>
      <c r="M262" s="15">
        <v>0.37940000000000002</v>
      </c>
      <c r="N262" s="54">
        <f>M263-M262</f>
        <v>0.17960000000000004</v>
      </c>
    </row>
    <row r="263" spans="1:14" ht="17.5" thickBot="1" x14ac:dyDescent="0.5">
      <c r="A263" s="47"/>
      <c r="B263" s="66"/>
      <c r="C263" s="8" t="s">
        <v>7</v>
      </c>
      <c r="D263" s="9">
        <v>9205</v>
      </c>
      <c r="E263" s="9">
        <v>32490</v>
      </c>
      <c r="F263" s="9">
        <f t="shared" si="15"/>
        <v>41695</v>
      </c>
      <c r="G263" s="14">
        <v>0.61929999999999996</v>
      </c>
      <c r="H263" s="53"/>
      <c r="I263" s="9">
        <v>40339</v>
      </c>
      <c r="J263" s="23">
        <v>0.5071</v>
      </c>
      <c r="K263" s="53"/>
      <c r="L263" s="9">
        <v>82475</v>
      </c>
      <c r="M263" s="14">
        <v>0.55900000000000005</v>
      </c>
      <c r="N263" s="55"/>
    </row>
    <row r="264" spans="1:14" ht="17.5" thickTop="1" x14ac:dyDescent="0.45">
      <c r="A264" s="47"/>
      <c r="B264" s="65" t="s">
        <v>153</v>
      </c>
      <c r="C264" s="10" t="s">
        <v>6</v>
      </c>
      <c r="D264" s="11">
        <v>4608</v>
      </c>
      <c r="E264" s="11">
        <v>18720</v>
      </c>
      <c r="F264" s="11">
        <f t="shared" si="15"/>
        <v>23328</v>
      </c>
      <c r="G264" s="15">
        <v>0.32740000000000002</v>
      </c>
      <c r="H264" s="52">
        <f>G265-G264</f>
        <v>0.2782</v>
      </c>
      <c r="I264" s="11">
        <v>35776</v>
      </c>
      <c r="J264" s="24">
        <v>0.42599999999999999</v>
      </c>
      <c r="K264" s="52">
        <f>J265-J264</f>
        <v>6.5800000000000025E-2</v>
      </c>
      <c r="L264" s="11">
        <v>59312</v>
      </c>
      <c r="M264" s="15">
        <v>0.38040000000000002</v>
      </c>
      <c r="N264" s="54">
        <f>M265-M264</f>
        <v>0.16399999999999998</v>
      </c>
    </row>
    <row r="265" spans="1:14" ht="17.5" thickBot="1" x14ac:dyDescent="0.5">
      <c r="A265" s="47"/>
      <c r="B265" s="66"/>
      <c r="C265" s="8" t="s">
        <v>7</v>
      </c>
      <c r="D265" s="9">
        <v>9687</v>
      </c>
      <c r="E265" s="9">
        <v>33461</v>
      </c>
      <c r="F265" s="9">
        <f t="shared" ref="F265:F296" si="16">SUM(D265:E265)</f>
        <v>43148</v>
      </c>
      <c r="G265" s="14">
        <v>0.60560000000000003</v>
      </c>
      <c r="H265" s="53"/>
      <c r="I265" s="9">
        <v>41306</v>
      </c>
      <c r="J265" s="23">
        <v>0.49180000000000001</v>
      </c>
      <c r="K265" s="53"/>
      <c r="L265" s="9">
        <v>84886</v>
      </c>
      <c r="M265" s="14">
        <v>0.5444</v>
      </c>
      <c r="N265" s="55"/>
    </row>
    <row r="266" spans="1:14" ht="17.5" thickTop="1" x14ac:dyDescent="0.45">
      <c r="A266" s="47"/>
      <c r="B266" s="65" t="s">
        <v>154</v>
      </c>
      <c r="C266" s="10" t="s">
        <v>6</v>
      </c>
      <c r="D266" s="11">
        <v>2746</v>
      </c>
      <c r="E266" s="11">
        <v>11460</v>
      </c>
      <c r="F266" s="11">
        <f t="shared" si="16"/>
        <v>14206</v>
      </c>
      <c r="G266" s="15">
        <f>F266/(F266+F267)</f>
        <v>0.35782473993098413</v>
      </c>
      <c r="H266" s="52">
        <f>G267-G266</f>
        <v>0.2843505201380318</v>
      </c>
      <c r="I266" s="11">
        <v>19197</v>
      </c>
      <c r="J266" s="24">
        <f>I266/(I266+I267)</f>
        <v>0.46620686305461789</v>
      </c>
      <c r="K266" s="52">
        <f>J267-J266</f>
        <v>6.7586273890764215E-2</v>
      </c>
      <c r="L266" s="11">
        <v>33525</v>
      </c>
      <c r="M266" s="15">
        <f>L266/(L266+L267)</f>
        <v>0.41266109476742041</v>
      </c>
      <c r="N266" s="54">
        <f>M267-M266</f>
        <v>0.17467781046515918</v>
      </c>
    </row>
    <row r="267" spans="1:14" ht="17.5" thickBot="1" x14ac:dyDescent="0.5">
      <c r="A267" s="47"/>
      <c r="B267" s="66"/>
      <c r="C267" s="8" t="s">
        <v>7</v>
      </c>
      <c r="D267" s="9">
        <v>4901</v>
      </c>
      <c r="E267" s="9">
        <v>20594</v>
      </c>
      <c r="F267" s="9">
        <f t="shared" si="16"/>
        <v>25495</v>
      </c>
      <c r="G267" s="14">
        <f>F267/(F267+F266)</f>
        <v>0.64217526006901593</v>
      </c>
      <c r="H267" s="53"/>
      <c r="I267" s="9">
        <v>21980</v>
      </c>
      <c r="J267" s="23">
        <f>I267/(I267+I266)</f>
        <v>0.53379313694538211</v>
      </c>
      <c r="K267" s="53"/>
      <c r="L267" s="9">
        <v>47716</v>
      </c>
      <c r="M267" s="14">
        <f>L267/(L267+L266)</f>
        <v>0.58733890523257959</v>
      </c>
      <c r="N267" s="55"/>
    </row>
    <row r="268" spans="1:14" ht="17.5" thickTop="1" x14ac:dyDescent="0.45">
      <c r="A268" s="47"/>
      <c r="B268" s="65" t="s">
        <v>155</v>
      </c>
      <c r="C268" s="10" t="s">
        <v>6</v>
      </c>
      <c r="D268" s="11">
        <v>2949</v>
      </c>
      <c r="E268" s="11">
        <v>11099</v>
      </c>
      <c r="F268" s="11">
        <f t="shared" si="16"/>
        <v>14048</v>
      </c>
      <c r="G268" s="15">
        <f>F268/(F268+F269)</f>
        <v>0.34694129559655235</v>
      </c>
      <c r="H268" s="52">
        <f>G269-G268</f>
        <v>0.30611740880689536</v>
      </c>
      <c r="I268" s="11">
        <v>21438</v>
      </c>
      <c r="J268" s="24">
        <f>I268/(I268+I269)</f>
        <v>0.45419491525423727</v>
      </c>
      <c r="K268" s="52">
        <f>J269-J268</f>
        <v>9.1610169491525451E-2</v>
      </c>
      <c r="L268" s="11">
        <v>35602</v>
      </c>
      <c r="M268" s="15">
        <f>L268/(L268+L269)</f>
        <v>0.40430630160009995</v>
      </c>
      <c r="N268" s="54">
        <f>M269-M268</f>
        <v>0.1913873967998001</v>
      </c>
    </row>
    <row r="269" spans="1:14" ht="17.5" thickBot="1" x14ac:dyDescent="0.5">
      <c r="A269" s="47"/>
      <c r="B269" s="66"/>
      <c r="C269" s="8" t="s">
        <v>7</v>
      </c>
      <c r="D269" s="9">
        <v>5483</v>
      </c>
      <c r="E269" s="9">
        <v>20960</v>
      </c>
      <c r="F269" s="9">
        <f t="shared" si="16"/>
        <v>26443</v>
      </c>
      <c r="G269" s="14">
        <f>F269/(F269+F268)</f>
        <v>0.65305870440344771</v>
      </c>
      <c r="H269" s="53"/>
      <c r="I269" s="9">
        <v>25762</v>
      </c>
      <c r="J269" s="23">
        <f>I269/(I269+I268)</f>
        <v>0.54580508474576273</v>
      </c>
      <c r="K269" s="53"/>
      <c r="L269" s="9">
        <v>52455</v>
      </c>
      <c r="M269" s="14">
        <f>L269/(L269+L268)</f>
        <v>0.59569369839990005</v>
      </c>
      <c r="N269" s="55"/>
    </row>
    <row r="270" spans="1:14" ht="17.5" thickTop="1" x14ac:dyDescent="0.45">
      <c r="A270" s="47"/>
      <c r="B270" s="65" t="s">
        <v>156</v>
      </c>
      <c r="C270" s="10" t="s">
        <v>6</v>
      </c>
      <c r="D270" s="11">
        <v>3843</v>
      </c>
      <c r="E270" s="11">
        <v>11862</v>
      </c>
      <c r="F270" s="11">
        <f t="shared" si="16"/>
        <v>15705</v>
      </c>
      <c r="G270" s="15">
        <f>F270/(F270+F271)</f>
        <v>0.37408889524081751</v>
      </c>
      <c r="H270" s="52">
        <f>G271-G270</f>
        <v>0.25182220951836504</v>
      </c>
      <c r="I270" s="11">
        <v>25381</v>
      </c>
      <c r="J270" s="24">
        <f>I270/(I270+I271)</f>
        <v>0.46657965366373766</v>
      </c>
      <c r="K270" s="52">
        <f>J271-J270</f>
        <v>6.6840692672524682E-2</v>
      </c>
      <c r="L270" s="11">
        <v>41202</v>
      </c>
      <c r="M270" s="15">
        <f>L270/(L270+L271)</f>
        <v>0.42585166198114766</v>
      </c>
      <c r="N270" s="54">
        <f>M271-M270</f>
        <v>0.14829667603770469</v>
      </c>
    </row>
    <row r="271" spans="1:14" ht="17.5" thickBot="1" x14ac:dyDescent="0.5">
      <c r="A271" s="47"/>
      <c r="B271" s="66"/>
      <c r="C271" s="8" t="s">
        <v>7</v>
      </c>
      <c r="D271" s="9">
        <v>6950</v>
      </c>
      <c r="E271" s="9">
        <v>19327</v>
      </c>
      <c r="F271" s="9">
        <f t="shared" si="16"/>
        <v>26277</v>
      </c>
      <c r="G271" s="14">
        <f>F271/(F271+F270)</f>
        <v>0.62591110475918255</v>
      </c>
      <c r="H271" s="53"/>
      <c r="I271" s="9">
        <v>29017</v>
      </c>
      <c r="J271" s="23">
        <f>I271/(I271+I270)</f>
        <v>0.53342034633626234</v>
      </c>
      <c r="K271" s="53"/>
      <c r="L271" s="9">
        <v>55550</v>
      </c>
      <c r="M271" s="14">
        <f>L271/(L271+L270)</f>
        <v>0.57414833801885234</v>
      </c>
      <c r="N271" s="55"/>
    </row>
    <row r="272" spans="1:14" ht="17.5" thickTop="1" x14ac:dyDescent="0.45">
      <c r="A272" s="47"/>
      <c r="B272" s="65" t="s">
        <v>157</v>
      </c>
      <c r="C272" s="10" t="s">
        <v>6</v>
      </c>
      <c r="D272" s="11">
        <v>5218</v>
      </c>
      <c r="E272" s="11">
        <v>10891</v>
      </c>
      <c r="F272" s="11">
        <f t="shared" si="16"/>
        <v>16109</v>
      </c>
      <c r="G272" s="15">
        <f>F272/(F272+F273)</f>
        <v>0.40774020451554116</v>
      </c>
      <c r="H272" s="52">
        <f>G273-G272</f>
        <v>0.18451959096891768</v>
      </c>
      <c r="I272" s="11">
        <v>25778</v>
      </c>
      <c r="J272" s="24">
        <f>I272/(I272+I273)</f>
        <v>0.4962843171229448</v>
      </c>
      <c r="K272" s="52">
        <f>J273-J272</f>
        <v>7.4313657541103528E-3</v>
      </c>
      <c r="L272" s="11">
        <v>42197</v>
      </c>
      <c r="M272" s="15">
        <f>L272/(L272+L273)</f>
        <v>0.45769293345626116</v>
      </c>
      <c r="N272" s="54">
        <f>M273-M272</f>
        <v>8.4614133087477672E-2</v>
      </c>
    </row>
    <row r="273" spans="1:14" ht="17.5" thickBot="1" x14ac:dyDescent="0.5">
      <c r="A273" s="47"/>
      <c r="B273" s="66"/>
      <c r="C273" s="8" t="s">
        <v>7</v>
      </c>
      <c r="D273" s="9">
        <v>6808</v>
      </c>
      <c r="E273" s="9">
        <v>16591</v>
      </c>
      <c r="F273" s="9">
        <f t="shared" si="16"/>
        <v>23399</v>
      </c>
      <c r="G273" s="14">
        <f>F273/(F273+F272)</f>
        <v>0.59225979548445884</v>
      </c>
      <c r="H273" s="53"/>
      <c r="I273" s="9">
        <v>26164</v>
      </c>
      <c r="J273" s="23">
        <f>I273/(I273+I272)</f>
        <v>0.50371568287705515</v>
      </c>
      <c r="K273" s="53"/>
      <c r="L273" s="9">
        <v>49998</v>
      </c>
      <c r="M273" s="14">
        <f>L273/(L273+L272)</f>
        <v>0.54230706654373884</v>
      </c>
      <c r="N273" s="55"/>
    </row>
    <row r="274" spans="1:14" ht="17.5" thickTop="1" x14ac:dyDescent="0.45">
      <c r="A274" s="47"/>
      <c r="B274" s="65" t="s">
        <v>158</v>
      </c>
      <c r="C274" s="10" t="s">
        <v>6</v>
      </c>
      <c r="D274" s="11">
        <v>4724</v>
      </c>
      <c r="E274" s="11">
        <v>12063</v>
      </c>
      <c r="F274" s="11">
        <f t="shared" si="16"/>
        <v>16787</v>
      </c>
      <c r="G274" s="15">
        <v>0.38030000000000003</v>
      </c>
      <c r="H274" s="52">
        <f>G275-G274</f>
        <v>0.20669999999999994</v>
      </c>
      <c r="I274" s="11">
        <v>29043</v>
      </c>
      <c r="J274" s="24">
        <v>0.47460000000000002</v>
      </c>
      <c r="K274" s="52">
        <f>J275-J274</f>
        <v>9.8999999999999644E-3</v>
      </c>
      <c r="L274" s="11">
        <v>45977</v>
      </c>
      <c r="M274" s="15">
        <v>0.43480000000000002</v>
      </c>
      <c r="N274" s="54">
        <f>M275-M274</f>
        <v>9.2899999999999927E-2</v>
      </c>
    </row>
    <row r="275" spans="1:14" ht="17.5" thickBot="1" x14ac:dyDescent="0.5">
      <c r="A275" s="47"/>
      <c r="B275" s="66"/>
      <c r="C275" s="8" t="s">
        <v>7</v>
      </c>
      <c r="D275" s="9">
        <v>6790</v>
      </c>
      <c r="E275" s="9">
        <v>19125</v>
      </c>
      <c r="F275" s="9">
        <f t="shared" si="16"/>
        <v>25915</v>
      </c>
      <c r="G275" s="14">
        <v>0.58699999999999997</v>
      </c>
      <c r="H275" s="53"/>
      <c r="I275" s="9">
        <v>29648</v>
      </c>
      <c r="J275" s="23">
        <v>0.48449999999999999</v>
      </c>
      <c r="K275" s="53"/>
      <c r="L275" s="9">
        <v>55794</v>
      </c>
      <c r="M275" s="14">
        <v>0.52769999999999995</v>
      </c>
      <c r="N275" s="55"/>
    </row>
    <row r="276" spans="1:14" ht="17.5" thickTop="1" x14ac:dyDescent="0.45">
      <c r="A276" s="47"/>
      <c r="B276" s="65" t="s">
        <v>159</v>
      </c>
      <c r="C276" s="10" t="s">
        <v>6</v>
      </c>
      <c r="D276" s="11">
        <v>4726</v>
      </c>
      <c r="E276" s="11">
        <v>16800</v>
      </c>
      <c r="F276" s="11">
        <f t="shared" si="16"/>
        <v>21526</v>
      </c>
      <c r="G276" s="15">
        <f>F276/(F276+F277)</f>
        <v>0.3463165854207893</v>
      </c>
      <c r="H276" s="52">
        <f>G277-G276</f>
        <v>0.30736682915842145</v>
      </c>
      <c r="I276" s="11">
        <v>32449</v>
      </c>
      <c r="J276" s="24">
        <f>I276/(I276+I277)</f>
        <v>0.44172940007351041</v>
      </c>
      <c r="K276" s="52">
        <f>J277-J276</f>
        <v>0.11654119985297923</v>
      </c>
      <c r="L276" s="11">
        <v>54183</v>
      </c>
      <c r="M276" s="15">
        <f>L276/(L276+L277)</f>
        <v>0.39732637182937469</v>
      </c>
      <c r="N276" s="54">
        <f>M277-M276</f>
        <v>0.20534725634125062</v>
      </c>
    </row>
    <row r="277" spans="1:14" ht="17.5" thickBot="1" x14ac:dyDescent="0.5">
      <c r="A277" s="47"/>
      <c r="B277" s="66"/>
      <c r="C277" s="8" t="s">
        <v>7</v>
      </c>
      <c r="D277" s="9">
        <v>9516</v>
      </c>
      <c r="E277" s="9">
        <v>31115</v>
      </c>
      <c r="F277" s="9">
        <f t="shared" si="16"/>
        <v>40631</v>
      </c>
      <c r="G277" s="14">
        <f>F277/(F277+F276)</f>
        <v>0.65368341457921075</v>
      </c>
      <c r="H277" s="53"/>
      <c r="I277" s="9">
        <v>41010</v>
      </c>
      <c r="J277" s="23">
        <f>I277/(I277+I276)</f>
        <v>0.55827059992648964</v>
      </c>
      <c r="K277" s="53"/>
      <c r="L277" s="9">
        <v>82186</v>
      </c>
      <c r="M277" s="14">
        <f>L277/(L277+L276)</f>
        <v>0.60267362817062531</v>
      </c>
      <c r="N277" s="55"/>
    </row>
    <row r="278" spans="1:14" ht="17.5" thickTop="1" x14ac:dyDescent="0.45">
      <c r="A278" s="47"/>
      <c r="B278" s="58" t="s">
        <v>160</v>
      </c>
      <c r="C278" s="10" t="s">
        <v>6</v>
      </c>
      <c r="D278" s="11">
        <v>3069</v>
      </c>
      <c r="E278" s="11">
        <v>15833</v>
      </c>
      <c r="F278" s="11">
        <f t="shared" si="16"/>
        <v>18902</v>
      </c>
      <c r="G278" s="15">
        <f>F278/(F278+F279)</f>
        <v>0.49446726135977187</v>
      </c>
      <c r="H278" s="52">
        <f>G279-G278</f>
        <v>1.1065477280456204E-2</v>
      </c>
      <c r="I278" s="11">
        <v>23198</v>
      </c>
      <c r="J278" s="24">
        <f>I278/(I278+I279)</f>
        <v>0.57835951134380459</v>
      </c>
      <c r="K278" s="52">
        <f>J279-J278</f>
        <v>-0.15671902268760912</v>
      </c>
      <c r="L278" s="11">
        <v>42393</v>
      </c>
      <c r="M278" s="15">
        <f>L278/(L278+L279)</f>
        <v>0.53707574778609712</v>
      </c>
      <c r="N278" s="54">
        <f>M279-M278</f>
        <v>-7.4151495572194193E-2</v>
      </c>
    </row>
    <row r="279" spans="1:14" ht="17.5" thickBot="1" x14ac:dyDescent="0.5">
      <c r="A279" s="47"/>
      <c r="B279" s="59"/>
      <c r="C279" s="8" t="s">
        <v>7</v>
      </c>
      <c r="D279" s="9">
        <v>3831</v>
      </c>
      <c r="E279" s="9">
        <v>15494</v>
      </c>
      <c r="F279" s="9">
        <f t="shared" si="16"/>
        <v>19325</v>
      </c>
      <c r="G279" s="14">
        <f>F279/(F279+F278)</f>
        <v>0.50553273864022807</v>
      </c>
      <c r="H279" s="53"/>
      <c r="I279" s="9">
        <v>16912</v>
      </c>
      <c r="J279" s="23">
        <f>I279/(I279+I278)</f>
        <v>0.42164048865619547</v>
      </c>
      <c r="K279" s="53"/>
      <c r="L279" s="9">
        <v>36540</v>
      </c>
      <c r="M279" s="14">
        <f>L279/(L279+L278)</f>
        <v>0.46292425221390293</v>
      </c>
      <c r="N279" s="55"/>
    </row>
    <row r="280" spans="1:14" ht="17.5" thickTop="1" x14ac:dyDescent="0.45">
      <c r="A280" s="47"/>
      <c r="B280" s="65" t="s">
        <v>161</v>
      </c>
      <c r="C280" s="10" t="s">
        <v>6</v>
      </c>
      <c r="D280" s="11">
        <v>3849</v>
      </c>
      <c r="E280" s="11">
        <v>12461</v>
      </c>
      <c r="F280" s="11">
        <f t="shared" si="16"/>
        <v>16310</v>
      </c>
      <c r="G280" s="15">
        <f>F280/(F280+F281)</f>
        <v>0.38631895592032023</v>
      </c>
      <c r="H280" s="52">
        <f>G281-G280</f>
        <v>0.22736208815935949</v>
      </c>
      <c r="I280" s="11">
        <v>29052</v>
      </c>
      <c r="J280" s="24">
        <f>I280/(I280+I281)</f>
        <v>0.4850164443479858</v>
      </c>
      <c r="K280" s="52">
        <f>J281-J280</f>
        <v>2.996711130402846E-2</v>
      </c>
      <c r="L280" s="11">
        <v>45517</v>
      </c>
      <c r="M280" s="15">
        <f>L280/(L280+L281)</f>
        <v>0.44377821326547523</v>
      </c>
      <c r="N280" s="54">
        <f>M281-M280</f>
        <v>0.11244357346904948</v>
      </c>
    </row>
    <row r="281" spans="1:14" ht="17.5" thickBot="1" x14ac:dyDescent="0.5">
      <c r="A281" s="47"/>
      <c r="B281" s="66"/>
      <c r="C281" s="8" t="s">
        <v>7</v>
      </c>
      <c r="D281" s="9">
        <v>5997</v>
      </c>
      <c r="E281" s="9">
        <v>19912</v>
      </c>
      <c r="F281" s="9">
        <f t="shared" si="16"/>
        <v>25909</v>
      </c>
      <c r="G281" s="14">
        <f>F281/(F281+F280)</f>
        <v>0.61368104407967972</v>
      </c>
      <c r="H281" s="53"/>
      <c r="I281" s="9">
        <v>30847</v>
      </c>
      <c r="J281" s="23">
        <f>I281/(I281+I280)</f>
        <v>0.51498355565201426</v>
      </c>
      <c r="K281" s="53"/>
      <c r="L281" s="9">
        <v>57050</v>
      </c>
      <c r="M281" s="14">
        <f>L281/(L281+L280)</f>
        <v>0.55622178673452471</v>
      </c>
      <c r="N281" s="55"/>
    </row>
    <row r="282" spans="1:14" ht="17.5" thickTop="1" x14ac:dyDescent="0.45">
      <c r="A282" s="47"/>
      <c r="B282" s="65" t="s">
        <v>162</v>
      </c>
      <c r="C282" s="10" t="s">
        <v>6</v>
      </c>
      <c r="D282" s="11">
        <v>3840</v>
      </c>
      <c r="E282" s="11">
        <v>12756</v>
      </c>
      <c r="F282" s="11">
        <f t="shared" si="16"/>
        <v>16596</v>
      </c>
      <c r="G282" s="15">
        <v>0.32800000000000001</v>
      </c>
      <c r="H282" s="52">
        <f>G283-G282</f>
        <v>0.29629999999999995</v>
      </c>
      <c r="I282" s="11">
        <v>28893</v>
      </c>
      <c r="J282" s="24">
        <v>0.41849999999999998</v>
      </c>
      <c r="K282" s="52">
        <f>J283-J282</f>
        <v>9.7400000000000042E-2</v>
      </c>
      <c r="L282" s="11">
        <v>45645</v>
      </c>
      <c r="M282" s="15">
        <v>0.37990000000000002</v>
      </c>
      <c r="N282" s="54">
        <f>M283-M282</f>
        <v>0.18220000000000003</v>
      </c>
    </row>
    <row r="283" spans="1:14" ht="17.5" thickBot="1" x14ac:dyDescent="0.5">
      <c r="A283" s="47"/>
      <c r="B283" s="66"/>
      <c r="C283" s="8" t="s">
        <v>7</v>
      </c>
      <c r="D283" s="9">
        <v>7375</v>
      </c>
      <c r="E283" s="9">
        <v>24216</v>
      </c>
      <c r="F283" s="9">
        <f t="shared" si="16"/>
        <v>31591</v>
      </c>
      <c r="G283" s="14">
        <v>0.62429999999999997</v>
      </c>
      <c r="H283" s="53"/>
      <c r="I283" s="9">
        <v>35616</v>
      </c>
      <c r="J283" s="23">
        <v>0.51590000000000003</v>
      </c>
      <c r="K283" s="53"/>
      <c r="L283" s="9">
        <v>67547</v>
      </c>
      <c r="M283" s="14">
        <v>0.56210000000000004</v>
      </c>
      <c r="N283" s="55"/>
    </row>
    <row r="284" spans="1:14" ht="17.5" thickTop="1" x14ac:dyDescent="0.45">
      <c r="A284" s="47"/>
      <c r="B284" s="65" t="s">
        <v>163</v>
      </c>
      <c r="C284" s="10" t="s">
        <v>6</v>
      </c>
      <c r="D284" s="11">
        <v>3914</v>
      </c>
      <c r="E284" s="11">
        <v>13626</v>
      </c>
      <c r="F284" s="11">
        <f t="shared" si="16"/>
        <v>17540</v>
      </c>
      <c r="G284" s="15">
        <v>0.38469999999999999</v>
      </c>
      <c r="H284" s="52">
        <f>G285-G284</f>
        <v>0.20590000000000003</v>
      </c>
      <c r="I284" s="11">
        <v>29415</v>
      </c>
      <c r="J284" s="24">
        <v>0.46400000000000002</v>
      </c>
      <c r="K284" s="52">
        <f>J285-J284</f>
        <v>4.2999999999999983E-2</v>
      </c>
      <c r="L284" s="11">
        <v>47175</v>
      </c>
      <c r="M284" s="15">
        <v>0.43090000000000001</v>
      </c>
      <c r="N284" s="54">
        <f>M285-M284</f>
        <v>0.11089999999999994</v>
      </c>
    </row>
    <row r="285" spans="1:14" ht="17.5" thickBot="1" x14ac:dyDescent="0.5">
      <c r="A285" s="47"/>
      <c r="B285" s="66"/>
      <c r="C285" s="8" t="s">
        <v>7</v>
      </c>
      <c r="D285" s="9">
        <v>6319</v>
      </c>
      <c r="E285" s="9">
        <v>20610</v>
      </c>
      <c r="F285" s="9">
        <f t="shared" si="16"/>
        <v>26929</v>
      </c>
      <c r="G285" s="14">
        <v>0.59060000000000001</v>
      </c>
      <c r="H285" s="53"/>
      <c r="I285" s="9">
        <v>32145</v>
      </c>
      <c r="J285" s="23">
        <v>0.50700000000000001</v>
      </c>
      <c r="K285" s="53"/>
      <c r="L285" s="9">
        <v>59317</v>
      </c>
      <c r="M285" s="14">
        <v>0.54179999999999995</v>
      </c>
      <c r="N285" s="55"/>
    </row>
    <row r="286" spans="1:14" ht="17.5" thickTop="1" x14ac:dyDescent="0.45">
      <c r="A286" s="47"/>
      <c r="B286" s="65" t="s">
        <v>164</v>
      </c>
      <c r="C286" s="10" t="s">
        <v>6</v>
      </c>
      <c r="D286" s="11">
        <v>5393</v>
      </c>
      <c r="E286" s="11">
        <v>15135</v>
      </c>
      <c r="F286" s="11">
        <f t="shared" si="16"/>
        <v>20528</v>
      </c>
      <c r="G286" s="15">
        <v>0.30399999999999999</v>
      </c>
      <c r="H286" s="52">
        <f>G287-G286</f>
        <v>0.22100000000000003</v>
      </c>
      <c r="I286" s="11">
        <v>33539</v>
      </c>
      <c r="J286" s="24">
        <v>0.39350000000000002</v>
      </c>
      <c r="K286" s="52">
        <f>J287-J286</f>
        <v>1.5000000000000013E-3</v>
      </c>
      <c r="L286" s="11">
        <v>54308</v>
      </c>
      <c r="M286" s="15">
        <v>0.35339999999999999</v>
      </c>
      <c r="N286" s="54">
        <f>M287-M286</f>
        <v>9.9700000000000011E-2</v>
      </c>
    </row>
    <row r="287" spans="1:14" ht="17.5" thickBot="1" x14ac:dyDescent="0.5">
      <c r="A287" s="47"/>
      <c r="B287" s="66"/>
      <c r="C287" s="8" t="s">
        <v>7</v>
      </c>
      <c r="D287" s="9">
        <v>10009</v>
      </c>
      <c r="E287" s="9">
        <v>25445</v>
      </c>
      <c r="F287" s="9">
        <f t="shared" si="16"/>
        <v>35454</v>
      </c>
      <c r="G287" s="14">
        <v>0.52500000000000002</v>
      </c>
      <c r="H287" s="53"/>
      <c r="I287" s="9">
        <v>33666</v>
      </c>
      <c r="J287" s="23">
        <v>0.39500000000000002</v>
      </c>
      <c r="K287" s="53"/>
      <c r="L287" s="9">
        <v>69617</v>
      </c>
      <c r="M287" s="14">
        <v>0.4531</v>
      </c>
      <c r="N287" s="55"/>
    </row>
    <row r="288" spans="1:14" ht="17.5" thickTop="1" x14ac:dyDescent="0.45">
      <c r="A288" s="47"/>
      <c r="B288" s="65" t="s">
        <v>165</v>
      </c>
      <c r="C288" s="10" t="s">
        <v>6</v>
      </c>
      <c r="D288" s="11">
        <v>6322</v>
      </c>
      <c r="E288" s="11">
        <v>17148</v>
      </c>
      <c r="F288" s="11">
        <f t="shared" si="16"/>
        <v>23470</v>
      </c>
      <c r="G288" s="15">
        <v>0.32069999999999999</v>
      </c>
      <c r="H288" s="52">
        <f>G289-G288</f>
        <v>0.34609999999999996</v>
      </c>
      <c r="I288" s="11">
        <v>35665</v>
      </c>
      <c r="J288" s="24">
        <v>0.4194</v>
      </c>
      <c r="K288" s="52">
        <f>J289-J288</f>
        <v>0.14549999999999996</v>
      </c>
      <c r="L288" s="11">
        <v>59375</v>
      </c>
      <c r="M288" s="15">
        <v>0.37340000000000001</v>
      </c>
      <c r="N288" s="54">
        <f>M289-M288</f>
        <v>0.23910000000000003</v>
      </c>
    </row>
    <row r="289" spans="1:14" ht="17.5" thickBot="1" x14ac:dyDescent="0.5">
      <c r="A289" s="47"/>
      <c r="B289" s="66"/>
      <c r="C289" s="8" t="s">
        <v>7</v>
      </c>
      <c r="D289" s="9">
        <v>13352</v>
      </c>
      <c r="E289" s="9">
        <v>35450</v>
      </c>
      <c r="F289" s="9">
        <f t="shared" si="16"/>
        <v>48802</v>
      </c>
      <c r="G289" s="14">
        <v>0.66679999999999995</v>
      </c>
      <c r="H289" s="53"/>
      <c r="I289" s="9">
        <v>48039</v>
      </c>
      <c r="J289" s="23">
        <v>0.56489999999999996</v>
      </c>
      <c r="K289" s="53"/>
      <c r="L289" s="9">
        <v>97402</v>
      </c>
      <c r="M289" s="14">
        <v>0.61250000000000004</v>
      </c>
      <c r="N289" s="55"/>
    </row>
    <row r="290" spans="1:14" ht="17.5" thickTop="1" x14ac:dyDescent="0.45">
      <c r="A290" s="47"/>
      <c r="B290" s="65" t="s">
        <v>166</v>
      </c>
      <c r="C290" s="39" t="s">
        <v>6</v>
      </c>
      <c r="D290" s="40">
        <v>6663</v>
      </c>
      <c r="E290" s="40">
        <v>20809</v>
      </c>
      <c r="F290" s="40">
        <f t="shared" si="16"/>
        <v>27472</v>
      </c>
      <c r="G290" s="41">
        <f>F290/(F290+F291)</f>
        <v>0.38560440177418448</v>
      </c>
      <c r="H290" s="60">
        <f>G291-G290</f>
        <v>0.22879119645163098</v>
      </c>
      <c r="I290" s="40">
        <v>44473</v>
      </c>
      <c r="J290" s="41">
        <f>I290/(I290+I291)</f>
        <v>0.52264607718704459</v>
      </c>
      <c r="K290" s="60">
        <f>J291-J290</f>
        <v>-4.5292154374089177E-2</v>
      </c>
      <c r="L290" s="40">
        <v>72332</v>
      </c>
      <c r="M290" s="41">
        <f>L290/(L290+L291)</f>
        <v>0.45934995491090141</v>
      </c>
      <c r="N290" s="60">
        <f>M291-M290</f>
        <v>8.1300090178197226E-2</v>
      </c>
    </row>
    <row r="291" spans="1:14" ht="17.5" thickBot="1" x14ac:dyDescent="0.5">
      <c r="A291" s="47"/>
      <c r="B291" s="66"/>
      <c r="C291" s="42" t="s">
        <v>7</v>
      </c>
      <c r="D291" s="37">
        <v>11034</v>
      </c>
      <c r="E291" s="37">
        <v>32738</v>
      </c>
      <c r="F291" s="37">
        <f t="shared" si="16"/>
        <v>43772</v>
      </c>
      <c r="G291" s="38">
        <f>F291/(F291+F290)</f>
        <v>0.61439559822581546</v>
      </c>
      <c r="H291" s="61"/>
      <c r="I291" s="37">
        <v>40619</v>
      </c>
      <c r="J291" s="38">
        <f>I291/(I291+I290)</f>
        <v>0.47735392281295541</v>
      </c>
      <c r="K291" s="61"/>
      <c r="L291" s="37">
        <v>85134</v>
      </c>
      <c r="M291" s="38">
        <f>L291/(L291+L290)</f>
        <v>0.54065004508909864</v>
      </c>
      <c r="N291" s="61"/>
    </row>
    <row r="292" spans="1:14" ht="17.5" thickTop="1" x14ac:dyDescent="0.45">
      <c r="A292" s="47"/>
      <c r="B292" s="65" t="s">
        <v>167</v>
      </c>
      <c r="C292" s="39" t="s">
        <v>6</v>
      </c>
      <c r="D292" s="40">
        <v>6158</v>
      </c>
      <c r="E292" s="40">
        <v>19698</v>
      </c>
      <c r="F292" s="40">
        <f t="shared" si="16"/>
        <v>25856</v>
      </c>
      <c r="G292" s="41">
        <f>F292/(F292+F293)</f>
        <v>0.37797301445758474</v>
      </c>
      <c r="H292" s="60">
        <f>G293-G292</f>
        <v>0.24405397108483046</v>
      </c>
      <c r="I292" s="40">
        <v>44221</v>
      </c>
      <c r="J292" s="41">
        <f>I292/(I292+I293)</f>
        <v>0.51041113599113552</v>
      </c>
      <c r="K292" s="60">
        <f>J293-J292</f>
        <v>-2.0822271982271046E-2</v>
      </c>
      <c r="L292" s="40">
        <v>70387</v>
      </c>
      <c r="M292" s="41">
        <f>L292/(L292+L293)</f>
        <v>0.45106282081680521</v>
      </c>
      <c r="N292" s="60">
        <f>M293-M292</f>
        <v>9.7874358366389635E-2</v>
      </c>
    </row>
    <row r="293" spans="1:14" ht="17.5" thickBot="1" x14ac:dyDescent="0.5">
      <c r="A293" s="47"/>
      <c r="B293" s="66"/>
      <c r="C293" s="42" t="s">
        <v>7</v>
      </c>
      <c r="D293" s="37">
        <v>10139</v>
      </c>
      <c r="E293" s="37">
        <v>32412</v>
      </c>
      <c r="F293" s="37">
        <f t="shared" si="16"/>
        <v>42551</v>
      </c>
      <c r="G293" s="38">
        <f>F293/(F293+F292)</f>
        <v>0.6220269855424152</v>
      </c>
      <c r="H293" s="61"/>
      <c r="I293" s="37">
        <v>42417</v>
      </c>
      <c r="J293" s="38">
        <f>I293/(I293+I292)</f>
        <v>0.48958886400886448</v>
      </c>
      <c r="K293" s="61"/>
      <c r="L293" s="37">
        <v>85660</v>
      </c>
      <c r="M293" s="38">
        <f>L293/(L293+L292)</f>
        <v>0.54893717918319485</v>
      </c>
      <c r="N293" s="61"/>
    </row>
    <row r="294" spans="1:14" ht="17.5" thickTop="1" x14ac:dyDescent="0.45">
      <c r="A294" s="47"/>
      <c r="B294" s="65" t="s">
        <v>168</v>
      </c>
      <c r="C294" s="39" t="s">
        <v>6</v>
      </c>
      <c r="D294" s="40">
        <v>6361</v>
      </c>
      <c r="E294" s="40">
        <v>20932</v>
      </c>
      <c r="F294" s="40">
        <f t="shared" si="16"/>
        <v>27293</v>
      </c>
      <c r="G294" s="41">
        <f>F294/(F294+F295)</f>
        <v>0.39429925309524844</v>
      </c>
      <c r="H294" s="60">
        <f>G295-G294</f>
        <v>0.21140149380950318</v>
      </c>
      <c r="I294" s="40">
        <v>40905</v>
      </c>
      <c r="J294" s="41">
        <f>I294/(I294+I295)</f>
        <v>0.51113999025328949</v>
      </c>
      <c r="K294" s="60">
        <f>J295-J294</f>
        <v>-2.2279980506578978E-2</v>
      </c>
      <c r="L294" s="40">
        <v>68508</v>
      </c>
      <c r="M294" s="41">
        <f>L294/(L294+L295)</f>
        <v>0.45626981378373338</v>
      </c>
      <c r="N294" s="60">
        <f>M295-M294</f>
        <v>8.7460372432533184E-2</v>
      </c>
    </row>
    <row r="295" spans="1:14" ht="17.5" thickBot="1" x14ac:dyDescent="0.5">
      <c r="A295" s="47"/>
      <c r="B295" s="66"/>
      <c r="C295" s="42" t="s">
        <v>7</v>
      </c>
      <c r="D295" s="37">
        <v>11174</v>
      </c>
      <c r="E295" s="37">
        <v>30752</v>
      </c>
      <c r="F295" s="37">
        <f t="shared" si="16"/>
        <v>41926</v>
      </c>
      <c r="G295" s="38">
        <f>F295/(F295+F294)</f>
        <v>0.60570074690475162</v>
      </c>
      <c r="H295" s="61"/>
      <c r="I295" s="37">
        <v>39122</v>
      </c>
      <c r="J295" s="38">
        <f>I295/(I295+I294)</f>
        <v>0.48886000974671051</v>
      </c>
      <c r="K295" s="61"/>
      <c r="L295" s="37">
        <v>81640</v>
      </c>
      <c r="M295" s="38">
        <f>L295/(L295+L294)</f>
        <v>0.54373018621626656</v>
      </c>
      <c r="N295" s="61"/>
    </row>
    <row r="296" spans="1:14" ht="17.5" thickTop="1" x14ac:dyDescent="0.45">
      <c r="A296" s="47"/>
      <c r="B296" s="65" t="s">
        <v>169</v>
      </c>
      <c r="C296" s="10" t="s">
        <v>6</v>
      </c>
      <c r="D296" s="11">
        <v>3521</v>
      </c>
      <c r="E296" s="11">
        <v>13975</v>
      </c>
      <c r="F296" s="11">
        <f t="shared" si="16"/>
        <v>17496</v>
      </c>
      <c r="G296" s="15">
        <v>0.37490000000000001</v>
      </c>
      <c r="H296" s="52">
        <f>G297-G296</f>
        <v>0.22670000000000001</v>
      </c>
      <c r="I296" s="11">
        <v>29968</v>
      </c>
      <c r="J296" s="24">
        <v>0.47749999999999998</v>
      </c>
      <c r="K296" s="52">
        <f>J297-J296</f>
        <v>1.5400000000000025E-2</v>
      </c>
      <c r="L296" s="11">
        <v>47620</v>
      </c>
      <c r="M296" s="15">
        <v>0.43319999999999997</v>
      </c>
      <c r="N296" s="54">
        <f>M297-M296</f>
        <v>0.10659999999999997</v>
      </c>
    </row>
    <row r="297" spans="1:14" ht="17.5" thickBot="1" x14ac:dyDescent="0.5">
      <c r="A297" s="47"/>
      <c r="B297" s="66"/>
      <c r="C297" s="8" t="s">
        <v>7</v>
      </c>
      <c r="D297" s="9">
        <v>6110</v>
      </c>
      <c r="E297" s="9">
        <v>21967</v>
      </c>
      <c r="F297" s="9">
        <f t="shared" ref="F297:F328" si="17">SUM(D297:E297)</f>
        <v>28077</v>
      </c>
      <c r="G297" s="14">
        <v>0.60160000000000002</v>
      </c>
      <c r="H297" s="53"/>
      <c r="I297" s="9">
        <v>30935</v>
      </c>
      <c r="J297" s="23">
        <v>0.4929</v>
      </c>
      <c r="K297" s="53"/>
      <c r="L297" s="9">
        <v>59331</v>
      </c>
      <c r="M297" s="14">
        <v>0.53979999999999995</v>
      </c>
      <c r="N297" s="55"/>
    </row>
    <row r="298" spans="1:14" ht="17.5" thickTop="1" x14ac:dyDescent="0.45">
      <c r="A298" s="47"/>
      <c r="B298" s="65" t="s">
        <v>170</v>
      </c>
      <c r="C298" s="10" t="s">
        <v>6</v>
      </c>
      <c r="D298" s="11">
        <v>3585</v>
      </c>
      <c r="E298" s="11">
        <v>10789</v>
      </c>
      <c r="F298" s="11">
        <f t="shared" si="17"/>
        <v>14374</v>
      </c>
      <c r="G298" s="15">
        <v>0.3009</v>
      </c>
      <c r="H298" s="52">
        <f>G299-G298</f>
        <v>0.27650000000000002</v>
      </c>
      <c r="I298" s="11">
        <v>26148</v>
      </c>
      <c r="J298" s="24">
        <v>0.39950000000000002</v>
      </c>
      <c r="K298" s="52">
        <f>J299-J298</f>
        <v>6.579999999999997E-2</v>
      </c>
      <c r="L298" s="11">
        <v>40670</v>
      </c>
      <c r="M298" s="15">
        <v>0.3574</v>
      </c>
      <c r="N298" s="54">
        <f>M299-M298</f>
        <v>0.15340000000000004</v>
      </c>
    </row>
    <row r="299" spans="1:14" ht="17.5" thickBot="1" x14ac:dyDescent="0.5">
      <c r="A299" s="47"/>
      <c r="B299" s="66"/>
      <c r="C299" s="8" t="s">
        <v>7</v>
      </c>
      <c r="D299" s="9">
        <v>6865</v>
      </c>
      <c r="E299" s="9">
        <v>20716</v>
      </c>
      <c r="F299" s="9">
        <f t="shared" si="17"/>
        <v>27581</v>
      </c>
      <c r="G299" s="14">
        <v>0.57740000000000002</v>
      </c>
      <c r="H299" s="53"/>
      <c r="I299" s="9">
        <v>30455</v>
      </c>
      <c r="J299" s="23">
        <v>0.46529999999999999</v>
      </c>
      <c r="K299" s="53"/>
      <c r="L299" s="9">
        <v>58135</v>
      </c>
      <c r="M299" s="14">
        <v>0.51080000000000003</v>
      </c>
      <c r="N299" s="55"/>
    </row>
    <row r="300" spans="1:14" ht="17.5" thickTop="1" x14ac:dyDescent="0.45">
      <c r="A300" s="47"/>
      <c r="B300" s="65" t="s">
        <v>171</v>
      </c>
      <c r="C300" s="10" t="s">
        <v>6</v>
      </c>
      <c r="D300" s="11">
        <v>5122</v>
      </c>
      <c r="E300" s="11">
        <v>12610</v>
      </c>
      <c r="F300" s="11">
        <f t="shared" si="17"/>
        <v>17732</v>
      </c>
      <c r="G300" s="15">
        <v>0.33750000000000002</v>
      </c>
      <c r="H300" s="52">
        <f>G301-G300</f>
        <v>0.30509999999999993</v>
      </c>
      <c r="I300" s="11">
        <v>35833</v>
      </c>
      <c r="J300" s="24">
        <v>0.45590000000000003</v>
      </c>
      <c r="K300" s="52">
        <f>J301-J300</f>
        <v>6.4199999999999979E-2</v>
      </c>
      <c r="L300" s="11">
        <v>53774</v>
      </c>
      <c r="M300" s="15">
        <v>0.40810000000000002</v>
      </c>
      <c r="N300" s="54">
        <f>M301-M300</f>
        <v>0.16139999999999999</v>
      </c>
    </row>
    <row r="301" spans="1:14" ht="17.5" thickBot="1" x14ac:dyDescent="0.5">
      <c r="A301" s="47"/>
      <c r="B301" s="66"/>
      <c r="C301" s="8" t="s">
        <v>7</v>
      </c>
      <c r="D301" s="9">
        <v>9613</v>
      </c>
      <c r="E301" s="9">
        <v>24149</v>
      </c>
      <c r="F301" s="9">
        <f t="shared" si="17"/>
        <v>33762</v>
      </c>
      <c r="G301" s="14">
        <v>0.64259999999999995</v>
      </c>
      <c r="H301" s="53"/>
      <c r="I301" s="9">
        <v>40882</v>
      </c>
      <c r="J301" s="23">
        <v>0.52010000000000001</v>
      </c>
      <c r="K301" s="53"/>
      <c r="L301" s="9">
        <v>75031</v>
      </c>
      <c r="M301" s="14">
        <v>0.56950000000000001</v>
      </c>
      <c r="N301" s="55"/>
    </row>
    <row r="302" spans="1:14" ht="17.5" thickTop="1" x14ac:dyDescent="0.45">
      <c r="A302" s="47"/>
      <c r="B302" s="65" t="s">
        <v>172</v>
      </c>
      <c r="C302" s="10" t="s">
        <v>6</v>
      </c>
      <c r="D302" s="11">
        <v>5591</v>
      </c>
      <c r="E302" s="11">
        <v>16188</v>
      </c>
      <c r="F302" s="11">
        <f t="shared" si="17"/>
        <v>21779</v>
      </c>
      <c r="G302" s="15">
        <v>0.35189999999999999</v>
      </c>
      <c r="H302" s="52">
        <f>G303-G302</f>
        <v>0.255</v>
      </c>
      <c r="I302" s="11">
        <v>42539</v>
      </c>
      <c r="J302" s="24">
        <v>0.47189999999999999</v>
      </c>
      <c r="K302" s="52">
        <f>J303-J302</f>
        <v>3.1200000000000006E-2</v>
      </c>
      <c r="L302" s="11">
        <v>64539</v>
      </c>
      <c r="M302" s="15">
        <v>0.42249999999999999</v>
      </c>
      <c r="N302" s="54">
        <f>M303-M302</f>
        <v>0.12340000000000007</v>
      </c>
    </row>
    <row r="303" spans="1:14" ht="17.5" thickBot="1" x14ac:dyDescent="0.5">
      <c r="A303" s="47"/>
      <c r="B303" s="66"/>
      <c r="C303" s="8" t="s">
        <v>7</v>
      </c>
      <c r="D303" s="9">
        <v>10161</v>
      </c>
      <c r="E303" s="9">
        <v>27398</v>
      </c>
      <c r="F303" s="9">
        <f t="shared" si="17"/>
        <v>37559</v>
      </c>
      <c r="G303" s="14">
        <v>0.6069</v>
      </c>
      <c r="H303" s="53"/>
      <c r="I303" s="9">
        <v>45350</v>
      </c>
      <c r="J303" s="23">
        <v>0.50309999999999999</v>
      </c>
      <c r="K303" s="53"/>
      <c r="L303" s="9">
        <v>83387</v>
      </c>
      <c r="M303" s="14">
        <v>0.54590000000000005</v>
      </c>
      <c r="N303" s="55"/>
    </row>
    <row r="304" spans="1:14" ht="17.5" thickTop="1" x14ac:dyDescent="0.45">
      <c r="A304" s="47"/>
      <c r="B304" s="65" t="s">
        <v>173</v>
      </c>
      <c r="C304" s="10" t="s">
        <v>6</v>
      </c>
      <c r="D304" s="11">
        <v>3870</v>
      </c>
      <c r="E304" s="11">
        <v>12807</v>
      </c>
      <c r="F304" s="11">
        <f t="shared" si="17"/>
        <v>16677</v>
      </c>
      <c r="G304" s="15">
        <f>F304/(F304+F305)</f>
        <v>0.35638422908430389</v>
      </c>
      <c r="H304" s="52">
        <f>G305-G304</f>
        <v>0.28723154183139221</v>
      </c>
      <c r="I304" s="11">
        <v>30107</v>
      </c>
      <c r="J304" s="24">
        <f>I304/(I304+I305)</f>
        <v>0.44745485620866465</v>
      </c>
      <c r="K304" s="52">
        <f>J305-J304</f>
        <v>0.10509028758267069</v>
      </c>
      <c r="L304" s="11">
        <v>46955</v>
      </c>
      <c r="M304" s="15">
        <f>L304/(L304+L305)</f>
        <v>0.40982247281233092</v>
      </c>
      <c r="N304" s="54">
        <f>M305-M304</f>
        <v>0.18035505437533822</v>
      </c>
    </row>
    <row r="305" spans="1:14" ht="17.5" thickBot="1" x14ac:dyDescent="0.5">
      <c r="A305" s="47"/>
      <c r="B305" s="66"/>
      <c r="C305" s="8" t="s">
        <v>7</v>
      </c>
      <c r="D305" s="9">
        <v>7148</v>
      </c>
      <c r="E305" s="9">
        <v>22970</v>
      </c>
      <c r="F305" s="9">
        <f t="shared" si="17"/>
        <v>30118</v>
      </c>
      <c r="G305" s="14">
        <f>F305/(F305+F304)</f>
        <v>0.64361577091569611</v>
      </c>
      <c r="H305" s="53"/>
      <c r="I305" s="9">
        <v>37178</v>
      </c>
      <c r="J305" s="23">
        <f>I305/(I305+I304)</f>
        <v>0.55254514379133535</v>
      </c>
      <c r="K305" s="53"/>
      <c r="L305" s="9">
        <v>67619</v>
      </c>
      <c r="M305" s="14">
        <f>L305/(L305+L304)</f>
        <v>0.59017752718766914</v>
      </c>
      <c r="N305" s="55"/>
    </row>
    <row r="306" spans="1:14" ht="17.5" thickTop="1" x14ac:dyDescent="0.45">
      <c r="A306" s="47"/>
      <c r="B306" s="65" t="s">
        <v>174</v>
      </c>
      <c r="C306" s="10" t="s">
        <v>6</v>
      </c>
      <c r="D306" s="11">
        <v>4680</v>
      </c>
      <c r="E306" s="11">
        <v>16300</v>
      </c>
      <c r="F306" s="11">
        <f t="shared" si="17"/>
        <v>20980</v>
      </c>
      <c r="G306" s="15">
        <v>0.32819999999999999</v>
      </c>
      <c r="H306" s="52">
        <f>G307-G306</f>
        <v>0.32819999999999999</v>
      </c>
      <c r="I306" s="11">
        <v>34657</v>
      </c>
      <c r="J306" s="24">
        <v>0.42630000000000001</v>
      </c>
      <c r="K306" s="52">
        <f>J307-J306</f>
        <v>0.14319999999999999</v>
      </c>
      <c r="L306" s="11">
        <v>55817</v>
      </c>
      <c r="M306" s="15">
        <v>0.38279999999999997</v>
      </c>
      <c r="N306" s="54">
        <f>M307-M306</f>
        <v>0.2253</v>
      </c>
    </row>
    <row r="307" spans="1:14" ht="17.5" thickBot="1" x14ac:dyDescent="0.5">
      <c r="A307" s="47"/>
      <c r="B307" s="66"/>
      <c r="C307" s="8" t="s">
        <v>7</v>
      </c>
      <c r="D307" s="9">
        <v>9038</v>
      </c>
      <c r="E307" s="9">
        <v>32922</v>
      </c>
      <c r="F307" s="9">
        <f t="shared" si="17"/>
        <v>41960</v>
      </c>
      <c r="G307" s="14">
        <v>0.65639999999999998</v>
      </c>
      <c r="H307" s="53"/>
      <c r="I307" s="9">
        <v>46298</v>
      </c>
      <c r="J307" s="23">
        <v>0.56950000000000001</v>
      </c>
      <c r="K307" s="53"/>
      <c r="L307" s="9">
        <v>88676</v>
      </c>
      <c r="M307" s="14">
        <v>0.60809999999999997</v>
      </c>
      <c r="N307" s="55"/>
    </row>
    <row r="308" spans="1:14" ht="17.5" thickTop="1" x14ac:dyDescent="0.45">
      <c r="A308" s="47"/>
      <c r="B308" s="65" t="s">
        <v>175</v>
      </c>
      <c r="C308" s="10" t="s">
        <v>6</v>
      </c>
      <c r="D308" s="11">
        <v>3948</v>
      </c>
      <c r="E308" s="11">
        <v>15168</v>
      </c>
      <c r="F308" s="11">
        <f t="shared" si="17"/>
        <v>19116</v>
      </c>
      <c r="G308" s="15">
        <v>0.34179999999999999</v>
      </c>
      <c r="H308" s="52">
        <f>G309-G308</f>
        <v>0.28380000000000005</v>
      </c>
      <c r="I308" s="11">
        <v>30590</v>
      </c>
      <c r="J308" s="24">
        <v>0.43980000000000002</v>
      </c>
      <c r="K308" s="52">
        <f>J309-J308</f>
        <v>7.6499999999999957E-2</v>
      </c>
      <c r="L308" s="11">
        <v>49828</v>
      </c>
      <c r="M308" s="15">
        <v>0.39560000000000001</v>
      </c>
      <c r="N308" s="54">
        <f>M309-M308</f>
        <v>0.16980000000000001</v>
      </c>
    </row>
    <row r="309" spans="1:14" ht="17.5" thickBot="1" x14ac:dyDescent="0.5">
      <c r="A309" s="47"/>
      <c r="B309" s="66"/>
      <c r="C309" s="8" t="s">
        <v>7</v>
      </c>
      <c r="D309" s="9">
        <v>7289</v>
      </c>
      <c r="E309" s="9">
        <v>27701</v>
      </c>
      <c r="F309" s="9">
        <f t="shared" si="17"/>
        <v>34990</v>
      </c>
      <c r="G309" s="14">
        <v>0.62560000000000004</v>
      </c>
      <c r="H309" s="53"/>
      <c r="I309" s="9">
        <v>35916</v>
      </c>
      <c r="J309" s="23">
        <v>0.51629999999999998</v>
      </c>
      <c r="K309" s="53"/>
      <c r="L309" s="9">
        <v>71207</v>
      </c>
      <c r="M309" s="14">
        <v>0.56540000000000001</v>
      </c>
      <c r="N309" s="55"/>
    </row>
    <row r="310" spans="1:14" ht="17.5" thickTop="1" x14ac:dyDescent="0.45">
      <c r="A310" s="47"/>
      <c r="B310" s="65" t="s">
        <v>176</v>
      </c>
      <c r="C310" s="10" t="s">
        <v>6</v>
      </c>
      <c r="D310" s="11">
        <v>4907</v>
      </c>
      <c r="E310" s="11">
        <v>20453</v>
      </c>
      <c r="F310" s="11">
        <f t="shared" si="17"/>
        <v>25360</v>
      </c>
      <c r="G310" s="15">
        <f>F310/(F310+F311)</f>
        <v>0.36713185476866061</v>
      </c>
      <c r="H310" s="52">
        <f>G311-G310</f>
        <v>0.26573629046267877</v>
      </c>
      <c r="I310" s="11">
        <v>42183</v>
      </c>
      <c r="J310" s="24">
        <f>I310/(I310+I311)</f>
        <v>0.48200329082682025</v>
      </c>
      <c r="K310" s="52">
        <f>J311-J310</f>
        <v>3.5993418346359496E-2</v>
      </c>
      <c r="L310" s="11">
        <v>67772</v>
      </c>
      <c r="M310" s="15">
        <f>L310/(L310+L311)</f>
        <v>0.4307551499049786</v>
      </c>
      <c r="N310" s="54">
        <f>M311-M310</f>
        <v>0.13848970019004275</v>
      </c>
    </row>
    <row r="311" spans="1:14" ht="17.5" thickBot="1" x14ac:dyDescent="0.5">
      <c r="A311" s="47"/>
      <c r="B311" s="66"/>
      <c r="C311" s="8" t="s">
        <v>7</v>
      </c>
      <c r="D311" s="9">
        <v>8854</v>
      </c>
      <c r="E311" s="9">
        <v>34862</v>
      </c>
      <c r="F311" s="9">
        <f t="shared" si="17"/>
        <v>43716</v>
      </c>
      <c r="G311" s="14">
        <f>F311/(F311+F310)</f>
        <v>0.63286814523133939</v>
      </c>
      <c r="H311" s="53"/>
      <c r="I311" s="9">
        <v>45333</v>
      </c>
      <c r="J311" s="23">
        <f>I311/(I311+I310)</f>
        <v>0.51799670917317975</v>
      </c>
      <c r="K311" s="53"/>
      <c r="L311" s="9">
        <v>89561</v>
      </c>
      <c r="M311" s="14">
        <f>L311/(L311+L310)</f>
        <v>0.56924485009502135</v>
      </c>
      <c r="N311" s="55"/>
    </row>
    <row r="312" spans="1:14" ht="17.5" thickTop="1" x14ac:dyDescent="0.45">
      <c r="A312" s="47"/>
      <c r="B312" s="65" t="s">
        <v>177</v>
      </c>
      <c r="C312" s="10" t="s">
        <v>6</v>
      </c>
      <c r="D312" s="11">
        <v>5917</v>
      </c>
      <c r="E312" s="11">
        <v>16570</v>
      </c>
      <c r="F312" s="11">
        <f t="shared" si="17"/>
        <v>22487</v>
      </c>
      <c r="G312" s="15">
        <f>F312/(F312+F313)</f>
        <v>0.44652501985702941</v>
      </c>
      <c r="H312" s="52">
        <f>G313-G312</f>
        <v>0.10694996028594117</v>
      </c>
      <c r="I312" s="11">
        <v>27526</v>
      </c>
      <c r="J312" s="24">
        <f>I312/(I312+I313)</f>
        <v>0.54192506841493904</v>
      </c>
      <c r="K312" s="52">
        <f>J313-J312</f>
        <v>-8.385013682987813E-2</v>
      </c>
      <c r="L312" s="11">
        <v>50229</v>
      </c>
      <c r="M312" s="15">
        <f>L312/(L312+L313)</f>
        <v>0.49410271796334732</v>
      </c>
      <c r="N312" s="54">
        <f>M313-M312</f>
        <v>1.1794564073305314E-2</v>
      </c>
    </row>
    <row r="313" spans="1:14" ht="17.5" thickBot="1" x14ac:dyDescent="0.5">
      <c r="A313" s="47"/>
      <c r="B313" s="66"/>
      <c r="C313" s="8" t="s">
        <v>7</v>
      </c>
      <c r="D313" s="9">
        <v>8174</v>
      </c>
      <c r="E313" s="9">
        <v>19699</v>
      </c>
      <c r="F313" s="9">
        <f t="shared" si="17"/>
        <v>27873</v>
      </c>
      <c r="G313" s="14">
        <f>F313/(F313+F312)</f>
        <v>0.55347498014297059</v>
      </c>
      <c r="H313" s="53"/>
      <c r="I313" s="9">
        <v>23267</v>
      </c>
      <c r="J313" s="23">
        <f>I313/(I313+I312)</f>
        <v>0.45807493158506091</v>
      </c>
      <c r="K313" s="53"/>
      <c r="L313" s="9">
        <v>51428</v>
      </c>
      <c r="M313" s="14">
        <f>L313/(L313+L312)</f>
        <v>0.50589728203665263</v>
      </c>
      <c r="N313" s="55"/>
    </row>
    <row r="314" spans="1:14" ht="17.5" thickTop="1" x14ac:dyDescent="0.45">
      <c r="A314" s="47"/>
      <c r="B314" s="65" t="s">
        <v>178</v>
      </c>
      <c r="C314" s="39" t="s">
        <v>6</v>
      </c>
      <c r="D314" s="40">
        <v>5094</v>
      </c>
      <c r="E314" s="40">
        <v>9859</v>
      </c>
      <c r="F314" s="40">
        <f t="shared" si="17"/>
        <v>14953</v>
      </c>
      <c r="G314" s="41">
        <v>0.3765</v>
      </c>
      <c r="H314" s="60">
        <f>G315-G314</f>
        <v>0.20890000000000003</v>
      </c>
      <c r="I314" s="40">
        <v>22745</v>
      </c>
      <c r="J314" s="41">
        <v>0.48959999999999998</v>
      </c>
      <c r="K314" s="60">
        <f>J315-J314</f>
        <v>-3.2799999999999996E-2</v>
      </c>
      <c r="L314" s="40">
        <v>37850</v>
      </c>
      <c r="M314" s="41">
        <v>0.43709999999999999</v>
      </c>
      <c r="N314" s="60">
        <f>M315-M314</f>
        <v>7.949999999999996E-2</v>
      </c>
    </row>
    <row r="315" spans="1:14" ht="17.5" thickBot="1" x14ac:dyDescent="0.5">
      <c r="A315" s="47"/>
      <c r="B315" s="66"/>
      <c r="C315" s="42" t="s">
        <v>7</v>
      </c>
      <c r="D315" s="37">
        <v>7718</v>
      </c>
      <c r="E315" s="37">
        <v>15533</v>
      </c>
      <c r="F315" s="37">
        <f t="shared" si="17"/>
        <v>23251</v>
      </c>
      <c r="G315" s="38">
        <v>0.58540000000000003</v>
      </c>
      <c r="H315" s="61"/>
      <c r="I315" s="37">
        <v>21220</v>
      </c>
      <c r="J315" s="38">
        <v>0.45679999999999998</v>
      </c>
      <c r="K315" s="61"/>
      <c r="L315" s="37">
        <v>44734</v>
      </c>
      <c r="M315" s="38">
        <v>0.51659999999999995</v>
      </c>
      <c r="N315" s="61"/>
    </row>
    <row r="316" spans="1:14" ht="17.5" thickTop="1" x14ac:dyDescent="0.45">
      <c r="A316" s="47"/>
      <c r="B316" s="65" t="s">
        <v>179</v>
      </c>
      <c r="C316" s="39" t="s">
        <v>6</v>
      </c>
      <c r="D316" s="40">
        <v>5514</v>
      </c>
      <c r="E316" s="40">
        <v>19054</v>
      </c>
      <c r="F316" s="40">
        <f t="shared" si="17"/>
        <v>24568</v>
      </c>
      <c r="G316" s="41">
        <v>0.38590000000000002</v>
      </c>
      <c r="H316" s="60">
        <f>G317-G316</f>
        <v>0.17289999999999994</v>
      </c>
      <c r="I316" s="40">
        <v>37222</v>
      </c>
      <c r="J316" s="41">
        <v>0.48309999999999997</v>
      </c>
      <c r="K316" s="60">
        <f>J317-J316</f>
        <v>-2.8799999999999992E-2</v>
      </c>
      <c r="L316" s="40">
        <v>61995</v>
      </c>
      <c r="M316" s="41">
        <v>0.43830000000000002</v>
      </c>
      <c r="N316" s="60">
        <f>M317-M316</f>
        <v>6.3899999999999957E-2</v>
      </c>
    </row>
    <row r="317" spans="1:14" ht="17.5" thickBot="1" x14ac:dyDescent="0.5">
      <c r="A317" s="47"/>
      <c r="B317" s="66"/>
      <c r="C317" s="42" t="s">
        <v>7</v>
      </c>
      <c r="D317" s="37">
        <v>8385</v>
      </c>
      <c r="E317" s="37">
        <v>27185</v>
      </c>
      <c r="F317" s="37">
        <f t="shared" si="17"/>
        <v>35570</v>
      </c>
      <c r="G317" s="38">
        <v>0.55879999999999996</v>
      </c>
      <c r="H317" s="61"/>
      <c r="I317" s="37">
        <v>34997</v>
      </c>
      <c r="J317" s="38">
        <v>0.45429999999999998</v>
      </c>
      <c r="K317" s="61"/>
      <c r="L317" s="37">
        <v>71030</v>
      </c>
      <c r="M317" s="38">
        <v>0.50219999999999998</v>
      </c>
      <c r="N317" s="61"/>
    </row>
    <row r="318" spans="1:14" ht="17.5" thickTop="1" x14ac:dyDescent="0.45">
      <c r="A318" s="47"/>
      <c r="B318" s="65" t="s">
        <v>180</v>
      </c>
      <c r="C318" s="10" t="s">
        <v>6</v>
      </c>
      <c r="D318" s="11">
        <v>6674</v>
      </c>
      <c r="E318" s="11">
        <v>17506</v>
      </c>
      <c r="F318" s="11">
        <f t="shared" si="17"/>
        <v>24180</v>
      </c>
      <c r="G318" s="15">
        <v>0.34770000000000001</v>
      </c>
      <c r="H318" s="52">
        <f>G319-G318</f>
        <v>0.27959999999999996</v>
      </c>
      <c r="I318" s="11">
        <v>41246</v>
      </c>
      <c r="J318" s="24">
        <v>0.47370000000000001</v>
      </c>
      <c r="K318" s="52">
        <f>J319-J318</f>
        <v>2.5999999999999968E-2</v>
      </c>
      <c r="L318" s="11">
        <v>65676</v>
      </c>
      <c r="M318" s="15">
        <v>0.41699999999999998</v>
      </c>
      <c r="N318" s="54">
        <f>M319-M318</f>
        <v>0.14010000000000006</v>
      </c>
    </row>
    <row r="319" spans="1:14" ht="17.5" thickBot="1" x14ac:dyDescent="0.5">
      <c r="A319" s="47"/>
      <c r="B319" s="66"/>
      <c r="C319" s="8" t="s">
        <v>7</v>
      </c>
      <c r="D319" s="9">
        <v>11795</v>
      </c>
      <c r="E319" s="9">
        <v>31834</v>
      </c>
      <c r="F319" s="9">
        <f t="shared" si="17"/>
        <v>43629</v>
      </c>
      <c r="G319" s="14">
        <v>0.62729999999999997</v>
      </c>
      <c r="H319" s="53"/>
      <c r="I319" s="9">
        <v>43511</v>
      </c>
      <c r="J319" s="23">
        <v>0.49969999999999998</v>
      </c>
      <c r="K319" s="53"/>
      <c r="L319" s="9">
        <v>87739</v>
      </c>
      <c r="M319" s="14">
        <v>0.55710000000000004</v>
      </c>
      <c r="N319" s="55"/>
    </row>
    <row r="320" spans="1:14" ht="17.5" thickTop="1" x14ac:dyDescent="0.45">
      <c r="A320" s="47"/>
      <c r="B320" s="65" t="s">
        <v>181</v>
      </c>
      <c r="C320" s="10" t="s">
        <v>6</v>
      </c>
      <c r="D320" s="11">
        <v>7003</v>
      </c>
      <c r="E320" s="11">
        <v>22382</v>
      </c>
      <c r="F320" s="11">
        <f t="shared" si="17"/>
        <v>29385</v>
      </c>
      <c r="G320" s="15">
        <f>F320/(F320+F321)</f>
        <v>0.41309940533929401</v>
      </c>
      <c r="H320" s="52">
        <f>G321-G320</f>
        <v>0.17380118932141198</v>
      </c>
      <c r="I320" s="11">
        <v>50872</v>
      </c>
      <c r="J320" s="24">
        <f>I320/(I320+I321)</f>
        <v>0.56596132879425054</v>
      </c>
      <c r="K320" s="52">
        <f>J321-J320</f>
        <v>-0.13192265758850102</v>
      </c>
      <c r="L320" s="11">
        <v>80687</v>
      </c>
      <c r="M320" s="15">
        <f>L320/(L320+L321)</f>
        <v>0.49737709970719679</v>
      </c>
      <c r="N320" s="54">
        <f>M321-M320</f>
        <v>5.2458005856064194E-3</v>
      </c>
    </row>
    <row r="321" spans="1:14" ht="17.5" thickBot="1" x14ac:dyDescent="0.5">
      <c r="A321" s="47"/>
      <c r="B321" s="66"/>
      <c r="C321" s="8" t="s">
        <v>7</v>
      </c>
      <c r="D321" s="9">
        <v>10173</v>
      </c>
      <c r="E321" s="9">
        <v>31575</v>
      </c>
      <c r="F321" s="9">
        <f t="shared" si="17"/>
        <v>41748</v>
      </c>
      <c r="G321" s="14">
        <f>F321/(F321+F320)</f>
        <v>0.58690059466070599</v>
      </c>
      <c r="H321" s="53"/>
      <c r="I321" s="9">
        <v>39014</v>
      </c>
      <c r="J321" s="23">
        <f>I321/(I321+I320)</f>
        <v>0.43403867120574952</v>
      </c>
      <c r="K321" s="53"/>
      <c r="L321" s="9">
        <v>81538</v>
      </c>
      <c r="M321" s="14">
        <f>L321/(L321+L320)</f>
        <v>0.50262290029280321</v>
      </c>
      <c r="N321" s="55"/>
    </row>
    <row r="322" spans="1:14" ht="17.5" thickTop="1" x14ac:dyDescent="0.45">
      <c r="A322" s="47"/>
      <c r="B322" s="65" t="s">
        <v>182</v>
      </c>
      <c r="C322" s="10" t="s">
        <v>6</v>
      </c>
      <c r="D322" s="11">
        <v>7418</v>
      </c>
      <c r="E322" s="11">
        <v>21135</v>
      </c>
      <c r="F322" s="11">
        <f t="shared" si="17"/>
        <v>28553</v>
      </c>
      <c r="G322" s="15">
        <v>0.39190000000000003</v>
      </c>
      <c r="H322" s="52">
        <f>G323-G322</f>
        <v>0.19640000000000002</v>
      </c>
      <c r="I322" s="11">
        <v>46470</v>
      </c>
      <c r="J322" s="24">
        <v>0.53520000000000001</v>
      </c>
      <c r="K322" s="52">
        <f>J323-J322</f>
        <v>-9.1600000000000015E-2</v>
      </c>
      <c r="L322" s="11">
        <v>75436</v>
      </c>
      <c r="M322" s="15">
        <v>0.46879999999999999</v>
      </c>
      <c r="N322" s="54">
        <f>M323-M322</f>
        <v>4.1800000000000059E-2</v>
      </c>
    </row>
    <row r="323" spans="1:14" ht="17.5" thickBot="1" x14ac:dyDescent="0.5">
      <c r="A323" s="47"/>
      <c r="B323" s="66"/>
      <c r="C323" s="8" t="s">
        <v>7</v>
      </c>
      <c r="D323" s="9">
        <v>11352</v>
      </c>
      <c r="E323" s="9">
        <v>31510</v>
      </c>
      <c r="F323" s="9">
        <f t="shared" si="17"/>
        <v>42862</v>
      </c>
      <c r="G323" s="14">
        <v>0.58830000000000005</v>
      </c>
      <c r="H323" s="53"/>
      <c r="I323" s="9">
        <v>38521</v>
      </c>
      <c r="J323" s="23">
        <v>0.44359999999999999</v>
      </c>
      <c r="K323" s="53"/>
      <c r="L323" s="9">
        <v>82156</v>
      </c>
      <c r="M323" s="14">
        <v>0.51060000000000005</v>
      </c>
      <c r="N323" s="55"/>
    </row>
    <row r="324" spans="1:14" ht="17.5" thickTop="1" x14ac:dyDescent="0.45">
      <c r="A324" s="47"/>
      <c r="B324" s="65" t="s">
        <v>183</v>
      </c>
      <c r="C324" s="10" t="s">
        <v>6</v>
      </c>
      <c r="D324" s="11">
        <v>5360</v>
      </c>
      <c r="E324" s="11">
        <v>12428</v>
      </c>
      <c r="F324" s="11">
        <f t="shared" si="17"/>
        <v>17788</v>
      </c>
      <c r="G324" s="15">
        <f>F324/(F324+F325)</f>
        <v>0.30185989682324194</v>
      </c>
      <c r="H324" s="52">
        <f>G325-G324</f>
        <v>0.39628020635351618</v>
      </c>
      <c r="I324" s="11">
        <v>35419</v>
      </c>
      <c r="J324" s="24">
        <f>I324/(I324+I325)</f>
        <v>0.41001331249638245</v>
      </c>
      <c r="K324" s="52">
        <f>J325-J324</f>
        <v>0.17997337500723504</v>
      </c>
      <c r="L324" s="11">
        <v>53374</v>
      </c>
      <c r="M324" s="15">
        <f>L324/(L324+L325)</f>
        <v>0.36561290543548997</v>
      </c>
      <c r="N324" s="54">
        <f>M325-M324</f>
        <v>0.26877418912902007</v>
      </c>
    </row>
    <row r="325" spans="1:14" ht="17.5" thickBot="1" x14ac:dyDescent="0.5">
      <c r="A325" s="47"/>
      <c r="B325" s="66"/>
      <c r="C325" s="8" t="s">
        <v>7</v>
      </c>
      <c r="D325" s="9">
        <v>11757</v>
      </c>
      <c r="E325" s="9">
        <v>29383</v>
      </c>
      <c r="F325" s="9">
        <f t="shared" si="17"/>
        <v>41140</v>
      </c>
      <c r="G325" s="14">
        <f>F325/(F325+F324)</f>
        <v>0.69814010317675812</v>
      </c>
      <c r="H325" s="53"/>
      <c r="I325" s="9">
        <v>50966</v>
      </c>
      <c r="J325" s="23">
        <f>I325/(I325+I324)</f>
        <v>0.58998668750361749</v>
      </c>
      <c r="K325" s="53"/>
      <c r="L325" s="9">
        <v>92611</v>
      </c>
      <c r="M325" s="14">
        <f>L325/(L325+L324)</f>
        <v>0.63438709456451003</v>
      </c>
      <c r="N325" s="55"/>
    </row>
    <row r="326" spans="1:14" ht="17.5" thickTop="1" x14ac:dyDescent="0.45">
      <c r="A326" s="47"/>
      <c r="B326" s="65" t="s">
        <v>184</v>
      </c>
      <c r="C326" s="10" t="s">
        <v>6</v>
      </c>
      <c r="D326" s="11">
        <v>4033</v>
      </c>
      <c r="E326" s="11">
        <v>16545</v>
      </c>
      <c r="F326" s="11">
        <f t="shared" si="17"/>
        <v>20578</v>
      </c>
      <c r="G326" s="15">
        <f>F326/(F326+F327)</f>
        <v>0.39450930772032744</v>
      </c>
      <c r="H326" s="52">
        <f>G327-G326</f>
        <v>0.21098138455934512</v>
      </c>
      <c r="I326" s="11">
        <v>32419</v>
      </c>
      <c r="J326" s="24">
        <f>I326/(I326+I327)</f>
        <v>0.49876919289824301</v>
      </c>
      <c r="K326" s="52">
        <f>J327-J326</f>
        <v>2.4616142035139288E-3</v>
      </c>
      <c r="L326" s="11">
        <v>53314</v>
      </c>
      <c r="M326" s="15">
        <f>L326/(L326+L327)</f>
        <v>0.45160306636737113</v>
      </c>
      <c r="N326" s="54">
        <f>M327-M326</f>
        <v>9.6793867265257738E-2</v>
      </c>
    </row>
    <row r="327" spans="1:14" ht="17.5" thickBot="1" x14ac:dyDescent="0.5">
      <c r="A327" s="47"/>
      <c r="B327" s="66"/>
      <c r="C327" s="8" t="s">
        <v>7</v>
      </c>
      <c r="D327" s="9">
        <v>6629</v>
      </c>
      <c r="E327" s="9">
        <v>24954</v>
      </c>
      <c r="F327" s="9">
        <f t="shared" si="17"/>
        <v>31583</v>
      </c>
      <c r="G327" s="14">
        <f>F327/(F327+F326)</f>
        <v>0.60549069227967256</v>
      </c>
      <c r="H327" s="53"/>
      <c r="I327" s="9">
        <v>32579</v>
      </c>
      <c r="J327" s="23">
        <f>I327/(I327+I326)</f>
        <v>0.50123080710175694</v>
      </c>
      <c r="K327" s="53"/>
      <c r="L327" s="9">
        <v>64741</v>
      </c>
      <c r="M327" s="14">
        <f>L327/(L327+L326)</f>
        <v>0.54839693363262887</v>
      </c>
      <c r="N327" s="55"/>
    </row>
    <row r="328" spans="1:14" ht="17.5" thickTop="1" x14ac:dyDescent="0.45">
      <c r="A328" s="47"/>
      <c r="B328" s="58" t="s">
        <v>185</v>
      </c>
      <c r="C328" s="10" t="s">
        <v>6</v>
      </c>
      <c r="D328" s="11">
        <v>4564</v>
      </c>
      <c r="E328" s="11">
        <v>21372</v>
      </c>
      <c r="F328" s="11">
        <f t="shared" si="17"/>
        <v>25936</v>
      </c>
      <c r="G328" s="15">
        <f>F328/(F328+F329)</f>
        <v>0.46265541661463816</v>
      </c>
      <c r="H328" s="52">
        <f>G329-G328</f>
        <v>7.4689166770723681E-2</v>
      </c>
      <c r="I328" s="11">
        <v>33990</v>
      </c>
      <c r="J328" s="24">
        <f>I328/(I328+I329)</f>
        <v>0.56120595713766797</v>
      </c>
      <c r="K328" s="52">
        <f>J329-J328</f>
        <v>-0.12241191427533599</v>
      </c>
      <c r="L328" s="11">
        <v>60191</v>
      </c>
      <c r="M328" s="15">
        <f>L328/(L328+L329)</f>
        <v>0.51330791993928071</v>
      </c>
      <c r="N328" s="54">
        <f>M329-M328</f>
        <v>-2.6615839878561476E-2</v>
      </c>
    </row>
    <row r="329" spans="1:14" ht="17.5" thickBot="1" x14ac:dyDescent="0.5">
      <c r="A329" s="47"/>
      <c r="B329" s="59"/>
      <c r="C329" s="8" t="s">
        <v>7</v>
      </c>
      <c r="D329" s="9">
        <v>5845</v>
      </c>
      <c r="E329" s="9">
        <v>24278</v>
      </c>
      <c r="F329" s="9">
        <f t="shared" ref="F329:F360" si="18">SUM(D329:E329)</f>
        <v>30123</v>
      </c>
      <c r="G329" s="14">
        <f>F329/(F329+F328)</f>
        <v>0.53734458338536184</v>
      </c>
      <c r="H329" s="53"/>
      <c r="I329" s="9">
        <v>26576</v>
      </c>
      <c r="J329" s="23">
        <f>I329/(I329+I328)</f>
        <v>0.43879404286233198</v>
      </c>
      <c r="K329" s="53"/>
      <c r="L329" s="9">
        <v>57070</v>
      </c>
      <c r="M329" s="14">
        <f>L329/(L329+L328)</f>
        <v>0.48669208006071923</v>
      </c>
      <c r="N329" s="55"/>
    </row>
    <row r="330" spans="1:14" ht="17.5" thickTop="1" x14ac:dyDescent="0.45">
      <c r="A330" s="47"/>
      <c r="B330" s="65" t="s">
        <v>186</v>
      </c>
      <c r="C330" s="10" t="s">
        <v>6</v>
      </c>
      <c r="D330" s="11">
        <v>3789</v>
      </c>
      <c r="E330" s="11">
        <v>17378</v>
      </c>
      <c r="F330" s="11">
        <f t="shared" si="18"/>
        <v>21167</v>
      </c>
      <c r="G330" s="15">
        <v>0.42709999999999998</v>
      </c>
      <c r="H330" s="52">
        <f>G331-G330</f>
        <v>0.1275</v>
      </c>
      <c r="I330" s="11">
        <v>27743</v>
      </c>
      <c r="J330" s="24">
        <v>0.51759999999999995</v>
      </c>
      <c r="K330" s="52">
        <f>J331-J330</f>
        <v>-5.5099999999999927E-2</v>
      </c>
      <c r="L330" s="11">
        <v>49049</v>
      </c>
      <c r="M330" s="15">
        <v>0.47370000000000001</v>
      </c>
      <c r="N330" s="54">
        <f>M331-M330</f>
        <v>3.3499999999999974E-2</v>
      </c>
    </row>
    <row r="331" spans="1:14" ht="17.5" thickBot="1" x14ac:dyDescent="0.5">
      <c r="A331" s="47"/>
      <c r="B331" s="66"/>
      <c r="C331" s="8" t="s">
        <v>7</v>
      </c>
      <c r="D331" s="9">
        <v>5011</v>
      </c>
      <c r="E331" s="9">
        <v>22475</v>
      </c>
      <c r="F331" s="9">
        <f t="shared" si="18"/>
        <v>27486</v>
      </c>
      <c r="G331" s="14">
        <v>0.55459999999999998</v>
      </c>
      <c r="H331" s="53"/>
      <c r="I331" s="9">
        <v>24786</v>
      </c>
      <c r="J331" s="23">
        <v>0.46250000000000002</v>
      </c>
      <c r="K331" s="53"/>
      <c r="L331" s="9">
        <v>52517</v>
      </c>
      <c r="M331" s="14">
        <v>0.50719999999999998</v>
      </c>
      <c r="N331" s="55"/>
    </row>
    <row r="332" spans="1:14" ht="17.5" thickTop="1" x14ac:dyDescent="0.45">
      <c r="A332" s="47"/>
      <c r="B332" s="65" t="s">
        <v>187</v>
      </c>
      <c r="C332" s="10" t="s">
        <v>6</v>
      </c>
      <c r="D332" s="11">
        <v>4907</v>
      </c>
      <c r="E332" s="11">
        <v>14472</v>
      </c>
      <c r="F332" s="11">
        <f t="shared" si="18"/>
        <v>19379</v>
      </c>
      <c r="G332" s="15">
        <f>F332/(F332+F333)</f>
        <v>0.39286003892312682</v>
      </c>
      <c r="H332" s="52">
        <f>G333-G332</f>
        <v>0.21427992215374636</v>
      </c>
      <c r="I332" s="11">
        <v>39267</v>
      </c>
      <c r="J332" s="24">
        <f>I332/(I332+I333)</f>
        <v>0.49870456450506745</v>
      </c>
      <c r="K332" s="52">
        <f>J333-J332</f>
        <v>2.5908709898651572E-3</v>
      </c>
      <c r="L332" s="11">
        <v>58841</v>
      </c>
      <c r="M332" s="15">
        <f>L332/(L332+L333)</f>
        <v>0.45727674720424005</v>
      </c>
      <c r="N332" s="54">
        <f>M333-M332</f>
        <v>8.5446505591519895E-2</v>
      </c>
    </row>
    <row r="333" spans="1:14" ht="17.5" thickBot="1" x14ac:dyDescent="0.5">
      <c r="A333" s="47"/>
      <c r="B333" s="66"/>
      <c r="C333" s="8" t="s">
        <v>7</v>
      </c>
      <c r="D333" s="9">
        <v>7744</v>
      </c>
      <c r="E333" s="9">
        <v>22205</v>
      </c>
      <c r="F333" s="9">
        <f t="shared" si="18"/>
        <v>29949</v>
      </c>
      <c r="G333" s="14">
        <f>F333/(F333+F332)</f>
        <v>0.60713996107687318</v>
      </c>
      <c r="H333" s="53"/>
      <c r="I333" s="9">
        <v>39471</v>
      </c>
      <c r="J333" s="23">
        <f>I333/(I333+I332)</f>
        <v>0.50129543549493261</v>
      </c>
      <c r="K333" s="53"/>
      <c r="L333" s="9">
        <v>69836</v>
      </c>
      <c r="M333" s="14">
        <f>L333/(L333+L332)</f>
        <v>0.54272325279575995</v>
      </c>
      <c r="N333" s="55"/>
    </row>
    <row r="334" spans="1:14" ht="17.5" thickTop="1" x14ac:dyDescent="0.45">
      <c r="A334" s="47"/>
      <c r="B334" s="65" t="s">
        <v>188</v>
      </c>
      <c r="C334" s="10" t="s">
        <v>6</v>
      </c>
      <c r="D334" s="11">
        <v>5622</v>
      </c>
      <c r="E334" s="11">
        <v>16649</v>
      </c>
      <c r="F334" s="11">
        <f t="shared" si="18"/>
        <v>22271</v>
      </c>
      <c r="G334" s="15">
        <f>F334/(F334+F335)</f>
        <v>0.39030844724851033</v>
      </c>
      <c r="H334" s="52">
        <f>G335-G334</f>
        <v>0.21938310550297935</v>
      </c>
      <c r="I334" s="11">
        <v>37226</v>
      </c>
      <c r="J334" s="24">
        <f>I334/(I334+I335)</f>
        <v>0.4861758675181862</v>
      </c>
      <c r="K334" s="52">
        <f>J335-J334</f>
        <v>2.76482649636276E-2</v>
      </c>
      <c r="L334" s="11">
        <v>59717</v>
      </c>
      <c r="M334" s="15">
        <f>L334/(L334+L335)</f>
        <v>0.44474317249186357</v>
      </c>
      <c r="N334" s="54">
        <f>M335-M334</f>
        <v>0.11051365501627286</v>
      </c>
    </row>
    <row r="335" spans="1:14" ht="17.5" thickBot="1" x14ac:dyDescent="0.5">
      <c r="A335" s="47"/>
      <c r="B335" s="66"/>
      <c r="C335" s="8" t="s">
        <v>7</v>
      </c>
      <c r="D335" s="9">
        <v>8807</v>
      </c>
      <c r="E335" s="9">
        <v>25982</v>
      </c>
      <c r="F335" s="9">
        <f t="shared" si="18"/>
        <v>34789</v>
      </c>
      <c r="G335" s="14">
        <f>F335/(F335+F334)</f>
        <v>0.60969155275148967</v>
      </c>
      <c r="H335" s="53"/>
      <c r="I335" s="9">
        <v>39343</v>
      </c>
      <c r="J335" s="23">
        <f>I335/(I335+I334)</f>
        <v>0.5138241324818138</v>
      </c>
      <c r="K335" s="53"/>
      <c r="L335" s="9">
        <v>74556</v>
      </c>
      <c r="M335" s="14">
        <f>L335/(L335+L334)</f>
        <v>0.55525682750813643</v>
      </c>
      <c r="N335" s="55"/>
    </row>
    <row r="336" spans="1:14" ht="17.5" thickTop="1" x14ac:dyDescent="0.45">
      <c r="A336" s="47"/>
      <c r="B336" s="65" t="s">
        <v>189</v>
      </c>
      <c r="C336" s="10" t="s">
        <v>6</v>
      </c>
      <c r="D336" s="11">
        <v>6658</v>
      </c>
      <c r="E336" s="11">
        <v>18823</v>
      </c>
      <c r="F336" s="11">
        <f t="shared" si="18"/>
        <v>25481</v>
      </c>
      <c r="G336" s="15">
        <f>F336/(F336+F337)</f>
        <v>0.40555467133534934</v>
      </c>
      <c r="H336" s="52">
        <f>G337-G336</f>
        <v>0.18889065732930127</v>
      </c>
      <c r="I336" s="11">
        <v>34264</v>
      </c>
      <c r="J336" s="24">
        <f>I336/(I336+I337)</f>
        <v>0.47256126994635</v>
      </c>
      <c r="K336" s="52">
        <f>J337-J336</f>
        <v>5.4877460107299936E-2</v>
      </c>
      <c r="L336" s="11">
        <v>59921</v>
      </c>
      <c r="M336" s="15">
        <f>L336/(L336+L337)</f>
        <v>0.44112428866950831</v>
      </c>
      <c r="N336" s="54">
        <f>M337-M336</f>
        <v>0.11775142266098343</v>
      </c>
    </row>
    <row r="337" spans="1:15" ht="17.5" thickBot="1" x14ac:dyDescent="0.5">
      <c r="A337" s="47"/>
      <c r="B337" s="66"/>
      <c r="C337" s="8" t="s">
        <v>7</v>
      </c>
      <c r="D337" s="9">
        <v>8757</v>
      </c>
      <c r="E337" s="9">
        <v>28592</v>
      </c>
      <c r="F337" s="9">
        <f t="shared" si="18"/>
        <v>37349</v>
      </c>
      <c r="G337" s="14">
        <f>F337/(F337+F336)</f>
        <v>0.59444532866465061</v>
      </c>
      <c r="H337" s="53"/>
      <c r="I337" s="9">
        <v>38243</v>
      </c>
      <c r="J337" s="23">
        <f>I337/(I337+I336)</f>
        <v>0.52743873005364994</v>
      </c>
      <c r="K337" s="53"/>
      <c r="L337" s="9">
        <v>75916</v>
      </c>
      <c r="M337" s="14">
        <f>L337/(L337+L336)</f>
        <v>0.55887571133049174</v>
      </c>
      <c r="N337" s="55"/>
    </row>
    <row r="338" spans="1:15" ht="17.5" thickTop="1" x14ac:dyDescent="0.45">
      <c r="A338" s="47"/>
      <c r="B338" s="65" t="s">
        <v>190</v>
      </c>
      <c r="C338" s="10" t="s">
        <v>6</v>
      </c>
      <c r="D338" s="11">
        <v>2862</v>
      </c>
      <c r="E338" s="11">
        <v>5983</v>
      </c>
      <c r="F338" s="11">
        <f t="shared" si="18"/>
        <v>8845</v>
      </c>
      <c r="G338" s="15">
        <v>0.1706</v>
      </c>
      <c r="H338" s="52">
        <f>G339-G338</f>
        <v>0.30500000000000005</v>
      </c>
      <c r="I338" s="11">
        <v>12893</v>
      </c>
      <c r="J338" s="24">
        <v>0.18429999999999999</v>
      </c>
      <c r="K338" s="52">
        <f>J339-J338</f>
        <v>0.15359999999999999</v>
      </c>
      <c r="L338" s="11">
        <v>21826</v>
      </c>
      <c r="M338" s="15">
        <v>0.17849999999999999</v>
      </c>
      <c r="N338" s="54">
        <f>M339-M338</f>
        <v>0.21879999999999999</v>
      </c>
      <c r="O338" t="s">
        <v>197</v>
      </c>
    </row>
    <row r="339" spans="1:15" ht="17.5" thickBot="1" x14ac:dyDescent="0.5">
      <c r="A339" s="47"/>
      <c r="B339" s="66"/>
      <c r="C339" s="8" t="s">
        <v>7</v>
      </c>
      <c r="D339" s="9">
        <v>6653</v>
      </c>
      <c r="E339" s="9">
        <v>18002</v>
      </c>
      <c r="F339" s="9">
        <f t="shared" si="18"/>
        <v>24655</v>
      </c>
      <c r="G339" s="14">
        <v>0.47560000000000002</v>
      </c>
      <c r="H339" s="53"/>
      <c r="I339" s="9">
        <v>23641</v>
      </c>
      <c r="J339" s="23">
        <v>0.33789999999999998</v>
      </c>
      <c r="K339" s="53"/>
      <c r="L339" s="9">
        <v>48578</v>
      </c>
      <c r="M339" s="14">
        <v>0.39729999999999999</v>
      </c>
      <c r="N339" s="55"/>
    </row>
    <row r="340" spans="1:15" ht="17.5" thickTop="1" x14ac:dyDescent="0.45">
      <c r="A340" s="47"/>
      <c r="B340" s="65" t="s">
        <v>191</v>
      </c>
      <c r="C340" s="10" t="s">
        <v>6</v>
      </c>
      <c r="D340" s="11">
        <v>5088</v>
      </c>
      <c r="E340" s="11">
        <v>12849</v>
      </c>
      <c r="F340" s="11">
        <f t="shared" si="18"/>
        <v>17937</v>
      </c>
      <c r="G340" s="15">
        <v>0.32540000000000002</v>
      </c>
      <c r="H340" s="52">
        <f>G341-G340</f>
        <v>0.33679999999999999</v>
      </c>
      <c r="I340" s="11">
        <v>30287</v>
      </c>
      <c r="J340" s="24">
        <v>0.40610000000000002</v>
      </c>
      <c r="K340" s="52">
        <f>J341-J340</f>
        <v>0.17420000000000002</v>
      </c>
      <c r="L340" s="11">
        <v>48360</v>
      </c>
      <c r="M340" s="15">
        <v>0.3715</v>
      </c>
      <c r="N340" s="54">
        <f>M341-M340</f>
        <v>0.24389999999999995</v>
      </c>
    </row>
    <row r="341" spans="1:15" ht="17.5" thickBot="1" x14ac:dyDescent="0.5">
      <c r="A341" s="47"/>
      <c r="B341" s="66"/>
      <c r="C341" s="8" t="s">
        <v>7</v>
      </c>
      <c r="D341" s="9">
        <v>10526</v>
      </c>
      <c r="E341" s="9">
        <v>25974</v>
      </c>
      <c r="F341" s="9">
        <f t="shared" si="18"/>
        <v>36500</v>
      </c>
      <c r="G341" s="14">
        <v>0.66220000000000001</v>
      </c>
      <c r="H341" s="53"/>
      <c r="I341" s="9">
        <v>43283</v>
      </c>
      <c r="J341" s="23">
        <v>0.58030000000000004</v>
      </c>
      <c r="K341" s="53"/>
      <c r="L341" s="9">
        <v>80110</v>
      </c>
      <c r="M341" s="14">
        <v>0.61539999999999995</v>
      </c>
      <c r="N341" s="55"/>
    </row>
    <row r="342" spans="1:15" ht="17.5" thickTop="1" x14ac:dyDescent="0.45">
      <c r="A342" s="47"/>
      <c r="B342" s="65" t="s">
        <v>192</v>
      </c>
      <c r="C342" s="10" t="s">
        <v>6</v>
      </c>
      <c r="D342" s="11">
        <v>4358</v>
      </c>
      <c r="E342" s="11">
        <v>10228</v>
      </c>
      <c r="F342" s="11">
        <f t="shared" si="18"/>
        <v>14586</v>
      </c>
      <c r="G342" s="15">
        <v>0.2928</v>
      </c>
      <c r="H342" s="52">
        <f>G343-G342</f>
        <v>0.32170000000000004</v>
      </c>
      <c r="I342" s="11">
        <v>23495</v>
      </c>
      <c r="J342" s="24">
        <v>0.38069999999999998</v>
      </c>
      <c r="K342" s="52">
        <f>J343-J342</f>
        <v>0.12920000000000004</v>
      </c>
      <c r="L342" s="11">
        <v>38207</v>
      </c>
      <c r="M342" s="15">
        <v>0.34089999999999998</v>
      </c>
      <c r="N342" s="54">
        <f>M343-M342</f>
        <v>0.21640000000000004</v>
      </c>
    </row>
    <row r="343" spans="1:15" ht="17.5" thickBot="1" x14ac:dyDescent="0.5">
      <c r="A343" s="47"/>
      <c r="B343" s="66"/>
      <c r="C343" s="8" t="s">
        <v>7</v>
      </c>
      <c r="D343" s="9">
        <v>8253</v>
      </c>
      <c r="E343" s="9">
        <v>22360</v>
      </c>
      <c r="F343" s="9">
        <f t="shared" si="18"/>
        <v>30613</v>
      </c>
      <c r="G343" s="14">
        <v>0.61450000000000005</v>
      </c>
      <c r="H343" s="53"/>
      <c r="I343" s="9">
        <v>31474</v>
      </c>
      <c r="J343" s="23">
        <v>0.50990000000000002</v>
      </c>
      <c r="K343" s="53"/>
      <c r="L343" s="9">
        <v>62457</v>
      </c>
      <c r="M343" s="14">
        <v>0.55730000000000002</v>
      </c>
      <c r="N343" s="55"/>
    </row>
    <row r="344" spans="1:15" ht="17.5" thickTop="1" x14ac:dyDescent="0.45">
      <c r="A344" s="47"/>
      <c r="B344" s="65" t="s">
        <v>193</v>
      </c>
      <c r="C344" s="10" t="s">
        <v>6</v>
      </c>
      <c r="D344" s="11">
        <v>4552</v>
      </c>
      <c r="E344" s="11">
        <v>13791</v>
      </c>
      <c r="F344" s="11">
        <f t="shared" si="18"/>
        <v>18343</v>
      </c>
      <c r="G344" s="15">
        <f>F344/(F344+F345)</f>
        <v>0.37948155657157046</v>
      </c>
      <c r="H344" s="52">
        <f>G345-G344</f>
        <v>0.24103688685685909</v>
      </c>
      <c r="I344" s="11">
        <v>26952</v>
      </c>
      <c r="J344" s="24">
        <f>I344/(I344+I345)</f>
        <v>0.48746608790016277</v>
      </c>
      <c r="K344" s="52">
        <f>J345-J344</f>
        <v>2.506782419967446E-2</v>
      </c>
      <c r="L344" s="11">
        <v>45443</v>
      </c>
      <c r="M344" s="15">
        <f>L344/(L344+L345)</f>
        <v>0.43664123604358435</v>
      </c>
      <c r="N344" s="54">
        <f>M345-M344</f>
        <v>0.12671752791283125</v>
      </c>
    </row>
    <row r="345" spans="1:15" ht="17.5" thickBot="1" x14ac:dyDescent="0.5">
      <c r="A345" s="47"/>
      <c r="B345" s="66"/>
      <c r="C345" s="8" t="s">
        <v>7</v>
      </c>
      <c r="D345" s="9">
        <v>7999</v>
      </c>
      <c r="E345" s="9">
        <v>21995</v>
      </c>
      <c r="F345" s="9">
        <f t="shared" si="18"/>
        <v>29994</v>
      </c>
      <c r="G345" s="14">
        <f>F345/(F345+F344)</f>
        <v>0.62051844342842954</v>
      </c>
      <c r="H345" s="53"/>
      <c r="I345" s="9">
        <v>28338</v>
      </c>
      <c r="J345" s="23">
        <f>I345/(I345+I344)</f>
        <v>0.51253391209983723</v>
      </c>
      <c r="K345" s="53"/>
      <c r="L345" s="9">
        <v>58631</v>
      </c>
      <c r="M345" s="14">
        <f>L345/(L345+L344)</f>
        <v>0.5633587639564156</v>
      </c>
      <c r="N345" s="55"/>
    </row>
    <row r="346" spans="1:15" ht="17.5" thickTop="1" x14ac:dyDescent="0.45">
      <c r="A346" s="47"/>
      <c r="B346" s="65" t="s">
        <v>194</v>
      </c>
      <c r="C346" s="39" t="s">
        <v>6</v>
      </c>
      <c r="D346" s="40">
        <v>5764</v>
      </c>
      <c r="E346" s="40">
        <v>12662</v>
      </c>
      <c r="F346" s="40">
        <f t="shared" si="18"/>
        <v>18426</v>
      </c>
      <c r="G346" s="41">
        <f>F346/(F346+F347)</f>
        <v>0.38707644476188474</v>
      </c>
      <c r="H346" s="60">
        <f>G347-G346</f>
        <v>0.22584711047623052</v>
      </c>
      <c r="I346" s="40">
        <v>28635</v>
      </c>
      <c r="J346" s="41">
        <f>I346/(I346+I347)</f>
        <v>0.50172585986368334</v>
      </c>
      <c r="K346" s="60">
        <f>J347-J346</f>
        <v>-3.4517197273666866E-3</v>
      </c>
      <c r="L346" s="40">
        <v>47275</v>
      </c>
      <c r="M346" s="41">
        <f>L346/(L346+L347)</f>
        <v>0.44933941640528469</v>
      </c>
      <c r="N346" s="60">
        <f>M347-M346</f>
        <v>0.10132116718943068</v>
      </c>
    </row>
    <row r="347" spans="1:15" ht="17.5" thickBot="1" x14ac:dyDescent="0.5">
      <c r="A347" s="47"/>
      <c r="B347" s="66"/>
      <c r="C347" s="42" t="s">
        <v>7</v>
      </c>
      <c r="D347" s="37">
        <v>9228</v>
      </c>
      <c r="E347" s="37">
        <v>19949</v>
      </c>
      <c r="F347" s="37">
        <f t="shared" si="18"/>
        <v>29177</v>
      </c>
      <c r="G347" s="38">
        <f>F347/(F347+F346)</f>
        <v>0.61292355523811526</v>
      </c>
      <c r="H347" s="61"/>
      <c r="I347" s="37">
        <v>28438</v>
      </c>
      <c r="J347" s="38">
        <f>I347/(I347+I346)</f>
        <v>0.49827414013631666</v>
      </c>
      <c r="K347" s="61"/>
      <c r="L347" s="37">
        <v>57935</v>
      </c>
      <c r="M347" s="38">
        <f>L347/(L347+L346)</f>
        <v>0.55066058359471537</v>
      </c>
      <c r="N347" s="61"/>
    </row>
    <row r="348" spans="1:15" ht="17.5" thickTop="1" x14ac:dyDescent="0.45">
      <c r="A348" s="47"/>
      <c r="B348" s="58" t="s">
        <v>195</v>
      </c>
      <c r="C348" s="10" t="s">
        <v>6</v>
      </c>
      <c r="D348" s="11">
        <v>4601</v>
      </c>
      <c r="E348" s="11">
        <v>20693</v>
      </c>
      <c r="F348" s="11">
        <f t="shared" si="18"/>
        <v>25294</v>
      </c>
      <c r="G348" s="15">
        <v>0.45700000000000002</v>
      </c>
      <c r="H348" s="52">
        <f>G349-G348</f>
        <v>7.4699999999999933E-2</v>
      </c>
      <c r="I348" s="11">
        <v>33632</v>
      </c>
      <c r="J348" s="24">
        <v>0.54969999999999997</v>
      </c>
      <c r="K348" s="52">
        <f>J349-J348</f>
        <v>-0.11049999999999999</v>
      </c>
      <c r="L348" s="11">
        <v>59192</v>
      </c>
      <c r="M348" s="15">
        <v>0.50480000000000003</v>
      </c>
      <c r="N348" s="54">
        <f>M349-M348</f>
        <v>-2.1200000000000052E-2</v>
      </c>
    </row>
    <row r="349" spans="1:15" ht="17.5" thickBot="1" x14ac:dyDescent="0.5">
      <c r="A349" s="47"/>
      <c r="B349" s="59"/>
      <c r="C349" s="8" t="s">
        <v>7</v>
      </c>
      <c r="D349" s="9">
        <v>5815</v>
      </c>
      <c r="E349" s="9">
        <v>23612</v>
      </c>
      <c r="F349" s="9">
        <f t="shared" si="18"/>
        <v>29427</v>
      </c>
      <c r="G349" s="14">
        <v>0.53169999999999995</v>
      </c>
      <c r="H349" s="53"/>
      <c r="I349" s="9">
        <v>26874</v>
      </c>
      <c r="J349" s="23">
        <v>0.43919999999999998</v>
      </c>
      <c r="K349" s="53"/>
      <c r="L349" s="9">
        <v>56715</v>
      </c>
      <c r="M349" s="14">
        <v>0.48359999999999997</v>
      </c>
      <c r="N349" s="55"/>
    </row>
    <row r="350" spans="1:15" ht="17.5" thickTop="1" x14ac:dyDescent="0.45">
      <c r="A350" s="47"/>
      <c r="B350" s="58" t="s">
        <v>196</v>
      </c>
      <c r="C350" s="10" t="s">
        <v>6</v>
      </c>
      <c r="D350" s="11">
        <v>7070</v>
      </c>
      <c r="E350" s="11">
        <v>26564</v>
      </c>
      <c r="F350" s="11">
        <f t="shared" si="18"/>
        <v>33634</v>
      </c>
      <c r="G350" s="15">
        <f>F350/(F350+F351)</f>
        <v>0.48087041061420566</v>
      </c>
      <c r="H350" s="52">
        <f>G351-G350</f>
        <v>3.8259178771588687E-2</v>
      </c>
      <c r="I350" s="11">
        <v>41041</v>
      </c>
      <c r="J350" s="24">
        <f>I350/(I350+I351)</f>
        <v>0.59359271044258022</v>
      </c>
      <c r="K350" s="52">
        <f>J351-J350</f>
        <v>-0.18718542088516049</v>
      </c>
      <c r="L350" s="11">
        <v>74916</v>
      </c>
      <c r="M350" s="15">
        <f>L350/(L350+L351)</f>
        <v>0.53584533184558936</v>
      </c>
      <c r="N350" s="54">
        <f>M351-M350</f>
        <v>-7.1690663691178713E-2</v>
      </c>
    </row>
    <row r="351" spans="1:15" ht="17.5" thickBot="1" x14ac:dyDescent="0.5">
      <c r="A351" s="48"/>
      <c r="B351" s="59"/>
      <c r="C351" s="8" t="s">
        <v>7</v>
      </c>
      <c r="D351" s="9">
        <v>7899</v>
      </c>
      <c r="E351" s="9">
        <v>28411</v>
      </c>
      <c r="F351" s="9">
        <f t="shared" si="18"/>
        <v>36310</v>
      </c>
      <c r="G351" s="14">
        <f>F351/(F351+F350)</f>
        <v>0.51912958938579434</v>
      </c>
      <c r="H351" s="53"/>
      <c r="I351" s="9">
        <v>28099</v>
      </c>
      <c r="J351" s="23">
        <f>I351/(I351+I350)</f>
        <v>0.40640728955741973</v>
      </c>
      <c r="K351" s="53"/>
      <c r="L351" s="9">
        <v>64893</v>
      </c>
      <c r="M351" s="14">
        <f>L351/(L351+L350)</f>
        <v>0.46415466815441064</v>
      </c>
      <c r="N351" s="55"/>
    </row>
    <row r="352" spans="1:15" ht="17.5" thickTop="1" x14ac:dyDescent="0.45">
      <c r="A352" s="46" t="s">
        <v>198</v>
      </c>
      <c r="B352" s="65" t="s">
        <v>199</v>
      </c>
      <c r="C352" s="39" t="s">
        <v>6</v>
      </c>
      <c r="D352" s="40">
        <v>3823</v>
      </c>
      <c r="E352" s="40">
        <v>20627</v>
      </c>
      <c r="F352" s="40">
        <f t="shared" si="18"/>
        <v>24450</v>
      </c>
      <c r="G352" s="41">
        <v>0.38719999999999999</v>
      </c>
      <c r="H352" s="60">
        <f>G353-G352</f>
        <v>0.20630000000000004</v>
      </c>
      <c r="I352" s="40">
        <v>33855</v>
      </c>
      <c r="J352" s="41">
        <v>0.50039999999999996</v>
      </c>
      <c r="K352" s="60">
        <f>J353-J352</f>
        <v>-2.1899999999999975E-2</v>
      </c>
      <c r="L352" s="40">
        <v>58542</v>
      </c>
      <c r="M352" s="41">
        <v>0.44519999999999998</v>
      </c>
      <c r="N352" s="60">
        <f>M353-M352</f>
        <v>8.9200000000000002E-2</v>
      </c>
    </row>
    <row r="353" spans="1:14" ht="17.5" thickBot="1" x14ac:dyDescent="0.5">
      <c r="A353" s="47"/>
      <c r="B353" s="66"/>
      <c r="C353" s="42" t="s">
        <v>7</v>
      </c>
      <c r="D353" s="37">
        <v>7280</v>
      </c>
      <c r="E353" s="37">
        <v>30197</v>
      </c>
      <c r="F353" s="37">
        <f t="shared" si="18"/>
        <v>37477</v>
      </c>
      <c r="G353" s="38">
        <v>0.59350000000000003</v>
      </c>
      <c r="H353" s="61"/>
      <c r="I353" s="37">
        <v>32378</v>
      </c>
      <c r="J353" s="38">
        <v>0.47849999999999998</v>
      </c>
      <c r="K353" s="61"/>
      <c r="L353" s="37">
        <v>70273</v>
      </c>
      <c r="M353" s="38">
        <v>0.53439999999999999</v>
      </c>
      <c r="N353" s="61"/>
    </row>
    <row r="354" spans="1:14" ht="17.5" thickTop="1" x14ac:dyDescent="0.45">
      <c r="A354" s="47"/>
      <c r="B354" s="58" t="s">
        <v>200</v>
      </c>
      <c r="C354" s="10" t="s">
        <v>6</v>
      </c>
      <c r="D354" s="11">
        <v>4247</v>
      </c>
      <c r="E354" s="11">
        <v>13420</v>
      </c>
      <c r="F354" s="11">
        <f t="shared" si="18"/>
        <v>17667</v>
      </c>
      <c r="G354" s="15">
        <v>0.4758</v>
      </c>
      <c r="H354" s="52">
        <f>G355-G354</f>
        <v>3.4000000000000141E-3</v>
      </c>
      <c r="I354" s="11">
        <v>25806</v>
      </c>
      <c r="J354" s="24">
        <v>0.59460000000000002</v>
      </c>
      <c r="K354" s="52">
        <f>J355-J354</f>
        <v>-0.23480000000000001</v>
      </c>
      <c r="L354" s="11">
        <v>43935</v>
      </c>
      <c r="M354" s="15">
        <v>0.53939999999999999</v>
      </c>
      <c r="N354" s="54">
        <f>M355-M354</f>
        <v>-0.12479999999999997</v>
      </c>
    </row>
    <row r="355" spans="1:14" ht="17.5" thickBot="1" x14ac:dyDescent="0.5">
      <c r="A355" s="47"/>
      <c r="B355" s="59"/>
      <c r="C355" s="8" t="s">
        <v>7</v>
      </c>
      <c r="D355" s="9">
        <v>5362</v>
      </c>
      <c r="E355" s="9">
        <v>12432</v>
      </c>
      <c r="F355" s="9">
        <f t="shared" si="18"/>
        <v>17794</v>
      </c>
      <c r="G355" s="14">
        <v>0.47920000000000001</v>
      </c>
      <c r="H355" s="53"/>
      <c r="I355" s="9">
        <v>15617</v>
      </c>
      <c r="J355" s="23">
        <v>0.35980000000000001</v>
      </c>
      <c r="K355" s="53"/>
      <c r="L355" s="9">
        <v>33774</v>
      </c>
      <c r="M355" s="14">
        <v>0.41460000000000002</v>
      </c>
      <c r="N355" s="55"/>
    </row>
    <row r="356" spans="1:14" ht="17.5" thickTop="1" x14ac:dyDescent="0.45">
      <c r="A356" s="47"/>
      <c r="B356" s="58" t="s">
        <v>201</v>
      </c>
      <c r="C356" s="10" t="s">
        <v>6</v>
      </c>
      <c r="D356" s="11">
        <v>4370</v>
      </c>
      <c r="E356" s="11">
        <v>17751</v>
      </c>
      <c r="F356" s="11">
        <f t="shared" si="18"/>
        <v>22121</v>
      </c>
      <c r="G356" s="15">
        <f>F356/(F356+F357)</f>
        <v>0.45080497248828205</v>
      </c>
      <c r="H356" s="52">
        <f>G357-G356</f>
        <v>9.8390055023435952E-2</v>
      </c>
      <c r="I356" s="11">
        <v>29737</v>
      </c>
      <c r="J356" s="24">
        <f>I356/(I356+I357)</f>
        <v>0.56000828609630704</v>
      </c>
      <c r="K356" s="52">
        <f>J357-J356</f>
        <v>-0.12001657219261408</v>
      </c>
      <c r="L356" s="11">
        <v>52002</v>
      </c>
      <c r="M356" s="15">
        <f>L356/(L356+L357)</f>
        <v>0.50715846141842869</v>
      </c>
      <c r="N356" s="54">
        <f>M357-M356</f>
        <v>-1.4316922836857315E-2</v>
      </c>
    </row>
    <row r="357" spans="1:14" ht="17.5" thickBot="1" x14ac:dyDescent="0.5">
      <c r="A357" s="47"/>
      <c r="B357" s="59"/>
      <c r="C357" s="8" t="s">
        <v>7</v>
      </c>
      <c r="D357" s="9">
        <v>6397</v>
      </c>
      <c r="E357" s="9">
        <v>20552</v>
      </c>
      <c r="F357" s="9">
        <f t="shared" si="18"/>
        <v>26949</v>
      </c>
      <c r="G357" s="14">
        <f>F357/(F357+F356)</f>
        <v>0.549195027511718</v>
      </c>
      <c r="H357" s="53"/>
      <c r="I357" s="9">
        <v>23364</v>
      </c>
      <c r="J357" s="23">
        <f>I357/(I357+I356)</f>
        <v>0.43999171390369296</v>
      </c>
      <c r="K357" s="53"/>
      <c r="L357" s="9">
        <v>50534</v>
      </c>
      <c r="M357" s="14">
        <f>L357/(L357+L356)</f>
        <v>0.49284153858157137</v>
      </c>
      <c r="N357" s="55"/>
    </row>
    <row r="358" spans="1:14" ht="17.5" thickTop="1" x14ac:dyDescent="0.45">
      <c r="A358" s="47"/>
      <c r="B358" s="65" t="s">
        <v>202</v>
      </c>
      <c r="C358" s="39" t="s">
        <v>6</v>
      </c>
      <c r="D358" s="40">
        <v>4489</v>
      </c>
      <c r="E358" s="40">
        <v>15201</v>
      </c>
      <c r="F358" s="40">
        <f t="shared" si="18"/>
        <v>19690</v>
      </c>
      <c r="G358" s="41">
        <f>F358/(F358+F359)</f>
        <v>0.40030088639505568</v>
      </c>
      <c r="H358" s="60">
        <f>G359-G358</f>
        <v>0.19939822720988865</v>
      </c>
      <c r="I358" s="40">
        <v>25067</v>
      </c>
      <c r="J358" s="41">
        <f>I358/(I358+I359)</f>
        <v>0.51984653670676073</v>
      </c>
      <c r="K358" s="60">
        <f>J359-J358</f>
        <v>-3.9693073413521407E-2</v>
      </c>
      <c r="L358" s="40">
        <v>44919</v>
      </c>
      <c r="M358" s="41">
        <f>L358/(L358+L359)</f>
        <v>0.459111397295557</v>
      </c>
      <c r="N358" s="60">
        <f>M359-M358</f>
        <v>8.1777205408886056E-2</v>
      </c>
    </row>
    <row r="359" spans="1:14" ht="17.5" thickBot="1" x14ac:dyDescent="0.5">
      <c r="A359" s="47"/>
      <c r="B359" s="66"/>
      <c r="C359" s="42" t="s">
        <v>7</v>
      </c>
      <c r="D359" s="37">
        <v>8005</v>
      </c>
      <c r="E359" s="37">
        <v>21493</v>
      </c>
      <c r="F359" s="37">
        <f t="shared" si="18"/>
        <v>29498</v>
      </c>
      <c r="G359" s="38">
        <f>F359/(F359+F358)</f>
        <v>0.59969911360494432</v>
      </c>
      <c r="H359" s="61"/>
      <c r="I359" s="37">
        <v>23153</v>
      </c>
      <c r="J359" s="38">
        <f>I359/(I359+I358)</f>
        <v>0.48015346329323932</v>
      </c>
      <c r="K359" s="61"/>
      <c r="L359" s="37">
        <v>52920</v>
      </c>
      <c r="M359" s="38">
        <f>L359/(L359+L358)</f>
        <v>0.54088860270444306</v>
      </c>
      <c r="N359" s="61"/>
    </row>
    <row r="360" spans="1:14" ht="17.5" thickTop="1" x14ac:dyDescent="0.45">
      <c r="A360" s="47"/>
      <c r="B360" s="58" t="s">
        <v>203</v>
      </c>
      <c r="C360" s="10" t="s">
        <v>6</v>
      </c>
      <c r="D360" s="11">
        <v>3057</v>
      </c>
      <c r="E360" s="11">
        <v>24890</v>
      </c>
      <c r="F360" s="11">
        <f t="shared" si="18"/>
        <v>27947</v>
      </c>
      <c r="G360" s="15">
        <v>0.4849</v>
      </c>
      <c r="H360" s="52">
        <f>G361-G360</f>
        <v>6.0000000000000053E-3</v>
      </c>
      <c r="I360" s="11">
        <v>36594</v>
      </c>
      <c r="J360" s="24">
        <v>0.59760000000000002</v>
      </c>
      <c r="K360" s="52">
        <f>J361-J360</f>
        <v>-0.21929999999999999</v>
      </c>
      <c r="L360" s="11">
        <v>64743</v>
      </c>
      <c r="M360" s="15">
        <v>0.54239999999999999</v>
      </c>
      <c r="N360" s="54">
        <f>M361-M360</f>
        <v>-0.10899999999999999</v>
      </c>
    </row>
    <row r="361" spans="1:14" ht="17.5" thickBot="1" x14ac:dyDescent="0.5">
      <c r="A361" s="47"/>
      <c r="B361" s="59"/>
      <c r="C361" s="8" t="s">
        <v>7</v>
      </c>
      <c r="D361" s="9">
        <v>3948</v>
      </c>
      <c r="E361" s="9">
        <v>24343</v>
      </c>
      <c r="F361" s="9">
        <f t="shared" ref="F361:F410" si="19">SUM(D361:E361)</f>
        <v>28291</v>
      </c>
      <c r="G361" s="14">
        <v>0.4909</v>
      </c>
      <c r="H361" s="53"/>
      <c r="I361" s="9">
        <v>23167</v>
      </c>
      <c r="J361" s="23">
        <v>0.37830000000000003</v>
      </c>
      <c r="K361" s="53"/>
      <c r="L361" s="9">
        <v>51731</v>
      </c>
      <c r="M361" s="14">
        <v>0.43340000000000001</v>
      </c>
      <c r="N361" s="55"/>
    </row>
    <row r="362" spans="1:14" ht="17.5" thickTop="1" x14ac:dyDescent="0.45">
      <c r="A362" s="47"/>
      <c r="B362" s="56" t="s">
        <v>204</v>
      </c>
      <c r="C362" s="10" t="s">
        <v>6</v>
      </c>
      <c r="D362" s="11">
        <v>4546</v>
      </c>
      <c r="E362" s="11">
        <v>32139</v>
      </c>
      <c r="F362" s="11">
        <f t="shared" si="19"/>
        <v>36685</v>
      </c>
      <c r="G362" s="15">
        <v>0.56240000000000001</v>
      </c>
      <c r="H362" s="52">
        <f>G363-G362</f>
        <v>-0.14779999999999999</v>
      </c>
      <c r="I362" s="11">
        <v>41107</v>
      </c>
      <c r="J362" s="24">
        <v>0.66720000000000002</v>
      </c>
      <c r="K362" s="52">
        <f>J363-J362</f>
        <v>-0.35650000000000004</v>
      </c>
      <c r="L362" s="11">
        <v>78325</v>
      </c>
      <c r="M362" s="15">
        <v>0.61219999999999997</v>
      </c>
      <c r="N362" s="54">
        <f>M363-M362</f>
        <v>-0.24739999999999995</v>
      </c>
    </row>
    <row r="363" spans="1:14" ht="17.5" thickBot="1" x14ac:dyDescent="0.5">
      <c r="A363" s="47"/>
      <c r="B363" s="57"/>
      <c r="C363" s="8" t="s">
        <v>7</v>
      </c>
      <c r="D363" s="9">
        <v>5152</v>
      </c>
      <c r="E363" s="9">
        <v>21895</v>
      </c>
      <c r="F363" s="9">
        <f t="shared" si="19"/>
        <v>27047</v>
      </c>
      <c r="G363" s="14">
        <v>0.41460000000000002</v>
      </c>
      <c r="H363" s="53"/>
      <c r="I363" s="9">
        <v>19142</v>
      </c>
      <c r="J363" s="23">
        <v>0.31069999999999998</v>
      </c>
      <c r="K363" s="53"/>
      <c r="L363" s="9">
        <v>46674</v>
      </c>
      <c r="M363" s="14">
        <v>0.36480000000000001</v>
      </c>
      <c r="N363" s="55"/>
    </row>
    <row r="364" spans="1:14" ht="17.5" thickTop="1" x14ac:dyDescent="0.45">
      <c r="A364" s="47"/>
      <c r="B364" s="56" t="s">
        <v>205</v>
      </c>
      <c r="C364" s="10" t="s">
        <v>6</v>
      </c>
      <c r="D364" s="11">
        <v>4227</v>
      </c>
      <c r="E364" s="11">
        <v>20209</v>
      </c>
      <c r="F364" s="11">
        <f t="shared" si="19"/>
        <v>24436</v>
      </c>
      <c r="G364" s="15">
        <f>F364/(F364+F365)</f>
        <v>0.50070692375468717</v>
      </c>
      <c r="H364" s="52">
        <f>G365-G364</f>
        <v>-1.4138475093743996E-3</v>
      </c>
      <c r="I364" s="11">
        <v>30001</v>
      </c>
      <c r="J364" s="24">
        <f>I364/(I364+I365)</f>
        <v>0.61774940800988365</v>
      </c>
      <c r="K364" s="52">
        <f>J365-J364</f>
        <v>-0.2354988160197673</v>
      </c>
      <c r="L364" s="11">
        <v>54738</v>
      </c>
      <c r="M364" s="15">
        <f>L364/(L364+L365)</f>
        <v>0.55847123880262006</v>
      </c>
      <c r="N364" s="54">
        <f>M365-M364</f>
        <v>-0.11694247760524007</v>
      </c>
    </row>
    <row r="365" spans="1:14" ht="17.5" thickBot="1" x14ac:dyDescent="0.5">
      <c r="A365" s="47"/>
      <c r="B365" s="57"/>
      <c r="C365" s="8" t="s">
        <v>7</v>
      </c>
      <c r="D365" s="9">
        <v>5299</v>
      </c>
      <c r="E365" s="9">
        <v>19068</v>
      </c>
      <c r="F365" s="9">
        <f t="shared" si="19"/>
        <v>24367</v>
      </c>
      <c r="G365" s="14">
        <f>F365/(F365+F364)</f>
        <v>0.49929307624531277</v>
      </c>
      <c r="H365" s="53"/>
      <c r="I365" s="9">
        <v>18564</v>
      </c>
      <c r="J365" s="23">
        <f>I365/(I365+I364)</f>
        <v>0.38225059199011635</v>
      </c>
      <c r="K365" s="53"/>
      <c r="L365" s="9">
        <v>43276</v>
      </c>
      <c r="M365" s="14">
        <f>L365/(L365+L364)</f>
        <v>0.44152876119737999</v>
      </c>
      <c r="N365" s="55"/>
    </row>
    <row r="366" spans="1:14" ht="17.5" thickTop="1" x14ac:dyDescent="0.45">
      <c r="A366" s="47"/>
      <c r="B366" s="56" t="s">
        <v>206</v>
      </c>
      <c r="C366" s="10" t="s">
        <v>6</v>
      </c>
      <c r="D366" s="11">
        <v>6148</v>
      </c>
      <c r="E366" s="11">
        <v>25817</v>
      </c>
      <c r="F366" s="11">
        <f t="shared" si="19"/>
        <v>31965</v>
      </c>
      <c r="G366" s="15">
        <f>F366/(F366+F367)</f>
        <v>0.52995009698758222</v>
      </c>
      <c r="H366" s="52">
        <f>G367-G366</f>
        <v>-5.9900193975164495E-2</v>
      </c>
      <c r="I366" s="11">
        <v>36022</v>
      </c>
      <c r="J366" s="24">
        <f>I366/(I366+I367)</f>
        <v>0.62810810810810813</v>
      </c>
      <c r="K366" s="52">
        <f>J367-J366</f>
        <v>-0.25621621621621626</v>
      </c>
      <c r="L366" s="11">
        <v>68226</v>
      </c>
      <c r="M366" s="15">
        <f>L366/(L366+L367)</f>
        <v>0.5771397634797909</v>
      </c>
      <c r="N366" s="54">
        <f>M367-M366</f>
        <v>-0.1542795269595818</v>
      </c>
    </row>
    <row r="367" spans="1:14" ht="17.5" thickBot="1" x14ac:dyDescent="0.5">
      <c r="A367" s="48"/>
      <c r="B367" s="57"/>
      <c r="C367" s="8" t="s">
        <v>7</v>
      </c>
      <c r="D367" s="9">
        <v>6179</v>
      </c>
      <c r="E367" s="9">
        <v>22173</v>
      </c>
      <c r="F367" s="9">
        <f t="shared" si="19"/>
        <v>28352</v>
      </c>
      <c r="G367" s="14">
        <f>F367/(F367+F366)</f>
        <v>0.47004990301241772</v>
      </c>
      <c r="H367" s="53"/>
      <c r="I367" s="9">
        <v>21328</v>
      </c>
      <c r="J367" s="23">
        <f>I367/(I367+I366)</f>
        <v>0.37189189189189187</v>
      </c>
      <c r="K367" s="53"/>
      <c r="L367" s="9">
        <v>49988</v>
      </c>
      <c r="M367" s="14">
        <f>L367/(L367+L366)</f>
        <v>0.4228602365202091</v>
      </c>
      <c r="N367" s="55"/>
    </row>
    <row r="368" spans="1:14" ht="17.5" thickTop="1" x14ac:dyDescent="0.45">
      <c r="A368" s="46" t="s">
        <v>207</v>
      </c>
      <c r="B368" s="65" t="s">
        <v>210</v>
      </c>
      <c r="C368" s="39" t="s">
        <v>6</v>
      </c>
      <c r="D368" s="40">
        <v>4015</v>
      </c>
      <c r="E368" s="40">
        <v>15919</v>
      </c>
      <c r="F368" s="40">
        <f t="shared" si="19"/>
        <v>19934</v>
      </c>
      <c r="G368" s="41">
        <v>0.4194</v>
      </c>
      <c r="H368" s="60">
        <f>G369-G368</f>
        <v>0.13929999999999998</v>
      </c>
      <c r="I368" s="40">
        <v>29817</v>
      </c>
      <c r="J368" s="41">
        <v>0.49630000000000002</v>
      </c>
      <c r="K368" s="60">
        <f>J369-J368</f>
        <v>-1.7400000000000027E-2</v>
      </c>
      <c r="L368" s="40">
        <v>49905</v>
      </c>
      <c r="M368" s="41">
        <v>0.46179999999999999</v>
      </c>
      <c r="N368" s="60">
        <f>M369-M368</f>
        <v>5.2699999999999969E-2</v>
      </c>
    </row>
    <row r="369" spans="1:14" ht="17.5" thickBot="1" x14ac:dyDescent="0.5">
      <c r="A369" s="47"/>
      <c r="B369" s="66"/>
      <c r="C369" s="42" t="s">
        <v>7</v>
      </c>
      <c r="D369" s="37">
        <v>6426</v>
      </c>
      <c r="E369" s="37">
        <v>20125</v>
      </c>
      <c r="F369" s="37">
        <f t="shared" si="19"/>
        <v>26551</v>
      </c>
      <c r="G369" s="38">
        <v>0.55869999999999997</v>
      </c>
      <c r="H369" s="61"/>
      <c r="I369" s="37">
        <v>28771</v>
      </c>
      <c r="J369" s="38">
        <v>0.47889999999999999</v>
      </c>
      <c r="K369" s="61"/>
      <c r="L369" s="37">
        <v>55602</v>
      </c>
      <c r="M369" s="38">
        <v>0.51449999999999996</v>
      </c>
      <c r="N369" s="61"/>
    </row>
    <row r="370" spans="1:14" ht="17.5" thickTop="1" x14ac:dyDescent="0.45">
      <c r="A370" s="47"/>
      <c r="B370" s="65" t="s">
        <v>208</v>
      </c>
      <c r="C370" s="10" t="s">
        <v>6</v>
      </c>
      <c r="D370" s="11">
        <v>4223</v>
      </c>
      <c r="E370" s="11">
        <v>15810</v>
      </c>
      <c r="F370" s="11">
        <f t="shared" si="19"/>
        <v>20033</v>
      </c>
      <c r="G370" s="15">
        <f>F370/(F370+F371)</f>
        <v>0.41784164859002171</v>
      </c>
      <c r="H370" s="52">
        <f>G371-G370</f>
        <v>0.16431670281995658</v>
      </c>
      <c r="I370" s="11">
        <v>29467</v>
      </c>
      <c r="J370" s="24">
        <f>I370/(I370+I371)</f>
        <v>0.52523037983708531</v>
      </c>
      <c r="K370" s="52">
        <f>J371-J370</f>
        <v>-5.0460759674170685E-2</v>
      </c>
      <c r="L370" s="11">
        <v>49688</v>
      </c>
      <c r="M370" s="15">
        <f>L370/(L370+L371)</f>
        <v>0.4753786248002832</v>
      </c>
      <c r="N370" s="54">
        <f>M371-M370</f>
        <v>4.9242750399433655E-2</v>
      </c>
    </row>
    <row r="371" spans="1:14" ht="17.5" thickBot="1" x14ac:dyDescent="0.5">
      <c r="A371" s="47"/>
      <c r="B371" s="66"/>
      <c r="C371" s="8" t="s">
        <v>7</v>
      </c>
      <c r="D371" s="9">
        <v>6828</v>
      </c>
      <c r="E371" s="9">
        <v>21083</v>
      </c>
      <c r="F371" s="9">
        <f t="shared" si="19"/>
        <v>27911</v>
      </c>
      <c r="G371" s="14">
        <f>F371/(F371+F370)</f>
        <v>0.58215835140997829</v>
      </c>
      <c r="H371" s="53"/>
      <c r="I371" s="9">
        <v>26636</v>
      </c>
      <c r="J371" s="23">
        <f>I371/(I371+I370)</f>
        <v>0.47476962016291463</v>
      </c>
      <c r="K371" s="53"/>
      <c r="L371" s="9">
        <v>54835</v>
      </c>
      <c r="M371" s="14">
        <f>L371/(L371+L370)</f>
        <v>0.52462137519971686</v>
      </c>
      <c r="N371" s="55"/>
    </row>
    <row r="372" spans="1:14" ht="17.5" thickTop="1" x14ac:dyDescent="0.45">
      <c r="A372" s="47"/>
      <c r="B372" s="65" t="s">
        <v>209</v>
      </c>
      <c r="C372" s="39" t="s">
        <v>6</v>
      </c>
      <c r="D372" s="40">
        <v>5663</v>
      </c>
      <c r="E372" s="40">
        <v>17353</v>
      </c>
      <c r="F372" s="40">
        <f t="shared" si="19"/>
        <v>23016</v>
      </c>
      <c r="G372" s="41">
        <v>0.3911</v>
      </c>
      <c r="H372" s="60">
        <f>G373-G372</f>
        <v>0.18340000000000001</v>
      </c>
      <c r="I372" s="40">
        <v>39107</v>
      </c>
      <c r="J372" s="41">
        <v>0.48659999999999998</v>
      </c>
      <c r="K372" s="60">
        <f>J373-J372</f>
        <v>-1.1099999999999999E-2</v>
      </c>
      <c r="L372" s="40">
        <v>62334</v>
      </c>
      <c r="M372" s="41">
        <v>0.44590000000000002</v>
      </c>
      <c r="N372" s="60">
        <f>M373-M372</f>
        <v>7.180000000000003E-2</v>
      </c>
    </row>
    <row r="373" spans="1:14" ht="17.5" thickBot="1" x14ac:dyDescent="0.5">
      <c r="A373" s="47"/>
      <c r="B373" s="66"/>
      <c r="C373" s="42" t="s">
        <v>7</v>
      </c>
      <c r="D373" s="37">
        <v>8115</v>
      </c>
      <c r="E373" s="37">
        <v>25692</v>
      </c>
      <c r="F373" s="37">
        <f t="shared" si="19"/>
        <v>33807</v>
      </c>
      <c r="G373" s="38">
        <v>0.57450000000000001</v>
      </c>
      <c r="H373" s="61"/>
      <c r="I373" s="37">
        <v>38220</v>
      </c>
      <c r="J373" s="38">
        <v>0.47549999999999998</v>
      </c>
      <c r="K373" s="61"/>
      <c r="L373" s="37">
        <v>72375</v>
      </c>
      <c r="M373" s="38">
        <v>0.51770000000000005</v>
      </c>
      <c r="N373" s="61"/>
    </row>
    <row r="374" spans="1:14" ht="17.5" thickTop="1" x14ac:dyDescent="0.45">
      <c r="A374" s="47"/>
      <c r="B374" s="65" t="s">
        <v>211</v>
      </c>
      <c r="C374" s="10" t="s">
        <v>6</v>
      </c>
      <c r="D374" s="11">
        <v>3799</v>
      </c>
      <c r="E374" s="11">
        <v>12682</v>
      </c>
      <c r="F374" s="11">
        <f t="shared" si="19"/>
        <v>16481</v>
      </c>
      <c r="G374" s="15">
        <f>F374/(F374+F375)</f>
        <v>0.42148739194926088</v>
      </c>
      <c r="H374" s="52">
        <f>G375-G374</f>
        <v>0.15702521610147824</v>
      </c>
      <c r="I374" s="11">
        <v>29495</v>
      </c>
      <c r="J374" s="24">
        <f>I374/(I374+I375)</f>
        <v>0.49768830993520519</v>
      </c>
      <c r="K374" s="52">
        <f>J375-J374</f>
        <v>4.6233801295896271E-3</v>
      </c>
      <c r="L374" s="11">
        <v>46129</v>
      </c>
      <c r="M374" s="15">
        <f>L374/(L374+L375)</f>
        <v>0.46713384439336092</v>
      </c>
      <c r="N374" s="54">
        <f>M375-M374</f>
        <v>6.5732311213278161E-2</v>
      </c>
    </row>
    <row r="375" spans="1:14" ht="17.5" thickBot="1" x14ac:dyDescent="0.5">
      <c r="A375" s="47"/>
      <c r="B375" s="66"/>
      <c r="C375" s="8" t="s">
        <v>7</v>
      </c>
      <c r="D375" s="9">
        <v>6068</v>
      </c>
      <c r="E375" s="9">
        <v>16553</v>
      </c>
      <c r="F375" s="9">
        <f t="shared" si="19"/>
        <v>22621</v>
      </c>
      <c r="G375" s="14">
        <f>F375/(F375+F374)</f>
        <v>0.57851260805073912</v>
      </c>
      <c r="H375" s="53"/>
      <c r="I375" s="9">
        <v>29769</v>
      </c>
      <c r="J375" s="23">
        <f>I375/(I375+I374)</f>
        <v>0.50231169006479481</v>
      </c>
      <c r="K375" s="53"/>
      <c r="L375" s="9">
        <v>52620</v>
      </c>
      <c r="M375" s="14">
        <f>L375/(L375+L374)</f>
        <v>0.53286615560663908</v>
      </c>
      <c r="N375" s="55"/>
    </row>
    <row r="376" spans="1:14" ht="17.5" thickTop="1" x14ac:dyDescent="0.45">
      <c r="A376" s="47"/>
      <c r="B376" s="58" t="s">
        <v>212</v>
      </c>
      <c r="C376" s="10" t="s">
        <v>6</v>
      </c>
      <c r="D376" s="11">
        <v>3100</v>
      </c>
      <c r="E376" s="11">
        <v>22954</v>
      </c>
      <c r="F376" s="11">
        <f t="shared" si="19"/>
        <v>26054</v>
      </c>
      <c r="G376" s="15">
        <f>F376/(F376+F377)</f>
        <v>0.46172931398089567</v>
      </c>
      <c r="H376" s="52">
        <f>G377-G376</f>
        <v>7.6541372038208655E-2</v>
      </c>
      <c r="I376" s="11">
        <v>34053</v>
      </c>
      <c r="J376" s="24">
        <f>I376/(I376+I377)</f>
        <v>0.55721368612242894</v>
      </c>
      <c r="K376" s="52">
        <f>J377-J376</f>
        <v>-0.11442737224485788</v>
      </c>
      <c r="L376" s="11">
        <v>60314</v>
      </c>
      <c r="M376" s="15">
        <f>L376/(L376+L377)</f>
        <v>0.511152920437981</v>
      </c>
      <c r="N376" s="54">
        <f>M377-M376</f>
        <v>-2.2305840875961935E-2</v>
      </c>
    </row>
    <row r="377" spans="1:14" ht="17.5" thickBot="1" x14ac:dyDescent="0.5">
      <c r="A377" s="47"/>
      <c r="B377" s="59"/>
      <c r="C377" s="8" t="s">
        <v>7</v>
      </c>
      <c r="D377" s="9">
        <v>3972</v>
      </c>
      <c r="E377" s="9">
        <v>26401</v>
      </c>
      <c r="F377" s="9">
        <f t="shared" si="19"/>
        <v>30373</v>
      </c>
      <c r="G377" s="14">
        <f>F377/(F377+F376)</f>
        <v>0.53827068601910433</v>
      </c>
      <c r="H377" s="53"/>
      <c r="I377" s="9">
        <v>27060</v>
      </c>
      <c r="J377" s="23">
        <f>I377/(I377+I376)</f>
        <v>0.44278631387757106</v>
      </c>
      <c r="K377" s="53"/>
      <c r="L377" s="9">
        <v>57682</v>
      </c>
      <c r="M377" s="14">
        <f>L377/(L377+L376)</f>
        <v>0.48884707956201906</v>
      </c>
      <c r="N377" s="55"/>
    </row>
    <row r="378" spans="1:14" ht="17.5" thickTop="1" x14ac:dyDescent="0.45">
      <c r="A378" s="47"/>
      <c r="B378" s="58" t="s">
        <v>213</v>
      </c>
      <c r="C378" s="10" t="s">
        <v>6</v>
      </c>
      <c r="D378" s="11">
        <v>2599</v>
      </c>
      <c r="E378" s="11">
        <v>18643</v>
      </c>
      <c r="F378" s="11">
        <f t="shared" si="19"/>
        <v>21242</v>
      </c>
      <c r="G378" s="15">
        <v>0.44740000000000002</v>
      </c>
      <c r="H378" s="52">
        <f>G379-G378</f>
        <v>2.1599999999999953E-2</v>
      </c>
      <c r="I378" s="11">
        <v>25149</v>
      </c>
      <c r="J378" s="24">
        <v>0.54369999999999996</v>
      </c>
      <c r="K378" s="52">
        <f>J379-J378</f>
        <v>-0.18619999999999998</v>
      </c>
      <c r="L378" s="11">
        <v>46532</v>
      </c>
      <c r="M378" s="15">
        <v>0.49440000000000001</v>
      </c>
      <c r="N378" s="54">
        <f>M379-M378</f>
        <v>-8.0000000000000016E-2</v>
      </c>
    </row>
    <row r="379" spans="1:14" ht="17.5" thickBot="1" x14ac:dyDescent="0.5">
      <c r="A379" s="47"/>
      <c r="B379" s="59"/>
      <c r="C379" s="8" t="s">
        <v>7</v>
      </c>
      <c r="D379" s="9">
        <v>3477</v>
      </c>
      <c r="E379" s="9">
        <v>18794</v>
      </c>
      <c r="F379" s="9">
        <f t="shared" si="19"/>
        <v>22271</v>
      </c>
      <c r="G379" s="14">
        <v>0.46899999999999997</v>
      </c>
      <c r="H379" s="53"/>
      <c r="I379" s="9">
        <v>16534</v>
      </c>
      <c r="J379" s="23">
        <v>0.35749999999999998</v>
      </c>
      <c r="K379" s="53"/>
      <c r="L379" s="9">
        <v>39007</v>
      </c>
      <c r="M379" s="14">
        <v>0.41439999999999999</v>
      </c>
      <c r="N379" s="55"/>
    </row>
    <row r="380" spans="1:14" ht="17.5" thickTop="1" x14ac:dyDescent="0.45">
      <c r="A380" s="47"/>
      <c r="B380" s="58" t="s">
        <v>214</v>
      </c>
      <c r="C380" s="10" t="s">
        <v>6</v>
      </c>
      <c r="D380" s="11">
        <v>4553</v>
      </c>
      <c r="E380" s="11">
        <v>24484</v>
      </c>
      <c r="F380" s="11">
        <f t="shared" si="19"/>
        <v>29037</v>
      </c>
      <c r="G380" s="15">
        <f>F380/(F380+F381)</f>
        <v>0.49476051730307213</v>
      </c>
      <c r="H380" s="52">
        <f>G381-G380</f>
        <v>1.0478965393855733E-2</v>
      </c>
      <c r="I380" s="11">
        <v>25973</v>
      </c>
      <c r="J380" s="24">
        <f>I380/(I380+I381)</f>
        <v>0.57481465087971673</v>
      </c>
      <c r="K380" s="52">
        <f>J381-J380</f>
        <v>-0.14962930175943345</v>
      </c>
      <c r="L380" s="11">
        <v>55234</v>
      </c>
      <c r="M380" s="15">
        <f>L380/(L380+L381)</f>
        <v>0.52933509669752554</v>
      </c>
      <c r="N380" s="54">
        <f>M381-M380</f>
        <v>-5.8670193395051085E-2</v>
      </c>
    </row>
    <row r="381" spans="1:14" ht="17.5" thickBot="1" x14ac:dyDescent="0.5">
      <c r="A381" s="47"/>
      <c r="B381" s="59"/>
      <c r="C381" s="8" t="s">
        <v>7</v>
      </c>
      <c r="D381" s="9">
        <v>5181</v>
      </c>
      <c r="E381" s="9">
        <v>24471</v>
      </c>
      <c r="F381" s="9">
        <f t="shared" si="19"/>
        <v>29652</v>
      </c>
      <c r="G381" s="14">
        <f>F381/(F381+F380)</f>
        <v>0.50523948269692787</v>
      </c>
      <c r="H381" s="53"/>
      <c r="I381" s="9">
        <v>19212</v>
      </c>
      <c r="J381" s="23">
        <f>I381/(I381+I380)</f>
        <v>0.42518534912028327</v>
      </c>
      <c r="K381" s="53"/>
      <c r="L381" s="9">
        <v>49112</v>
      </c>
      <c r="M381" s="14">
        <f>L381/(L381+L380)</f>
        <v>0.47066490330247446</v>
      </c>
      <c r="N381" s="55"/>
    </row>
    <row r="382" spans="1:14" ht="17.5" thickTop="1" x14ac:dyDescent="0.45">
      <c r="A382" s="47"/>
      <c r="B382" s="65" t="s">
        <v>215</v>
      </c>
      <c r="C382" s="39" t="s">
        <v>6</v>
      </c>
      <c r="D382" s="40">
        <v>4486</v>
      </c>
      <c r="E382" s="40">
        <v>20061</v>
      </c>
      <c r="F382" s="40">
        <f t="shared" si="19"/>
        <v>24547</v>
      </c>
      <c r="G382" s="41">
        <f>F382/(F382+F383)</f>
        <v>0.40806928882534826</v>
      </c>
      <c r="H382" s="60">
        <f>G383-G382</f>
        <v>0.18386142234930342</v>
      </c>
      <c r="I382" s="40">
        <v>28504</v>
      </c>
      <c r="J382" s="41">
        <f>I382/(I382+I383)</f>
        <v>0.51845250004547194</v>
      </c>
      <c r="K382" s="60">
        <f>J383-J382</f>
        <v>-3.6905000090943829E-2</v>
      </c>
      <c r="L382" s="40">
        <v>53230</v>
      </c>
      <c r="M382" s="41">
        <f>L382/(L382+L383)</f>
        <v>0.46046712802768164</v>
      </c>
      <c r="N382" s="60">
        <f>M383-M382</f>
        <v>7.9065743944636724E-2</v>
      </c>
    </row>
    <row r="383" spans="1:14" ht="17.5" thickBot="1" x14ac:dyDescent="0.5">
      <c r="A383" s="48"/>
      <c r="B383" s="66"/>
      <c r="C383" s="42" t="s">
        <v>7</v>
      </c>
      <c r="D383" s="37">
        <v>7003</v>
      </c>
      <c r="E383" s="37">
        <v>28604</v>
      </c>
      <c r="F383" s="37">
        <f t="shared" si="19"/>
        <v>35607</v>
      </c>
      <c r="G383" s="38">
        <f>F383/(F383+F382)</f>
        <v>0.59193071117465168</v>
      </c>
      <c r="H383" s="61"/>
      <c r="I383" s="37">
        <v>26475</v>
      </c>
      <c r="J383" s="38">
        <f>I383/(I383+I382)</f>
        <v>0.48154749995452811</v>
      </c>
      <c r="K383" s="61"/>
      <c r="L383" s="37">
        <v>62370</v>
      </c>
      <c r="M383" s="38">
        <f>L383/(L383+L382)</f>
        <v>0.53953287197231836</v>
      </c>
      <c r="N383" s="61"/>
    </row>
    <row r="384" spans="1:14" ht="17.5" thickTop="1" x14ac:dyDescent="0.45">
      <c r="A384" s="46" t="s">
        <v>216</v>
      </c>
      <c r="B384" s="65" t="s">
        <v>217</v>
      </c>
      <c r="C384" s="10" t="s">
        <v>6</v>
      </c>
      <c r="D384" s="11">
        <v>4771</v>
      </c>
      <c r="E384" s="11">
        <v>17194</v>
      </c>
      <c r="F384" s="11">
        <f t="shared" si="19"/>
        <v>21965</v>
      </c>
      <c r="G384" s="15">
        <v>0.41049999999999998</v>
      </c>
      <c r="H384" s="52">
        <f>G385-G384</f>
        <v>0.15790000000000004</v>
      </c>
      <c r="I384" s="11">
        <v>38036</v>
      </c>
      <c r="J384" s="24">
        <f>I384/73511</f>
        <v>0.51741916175810421</v>
      </c>
      <c r="K384" s="52">
        <f>J385-J384</f>
        <v>-5.8290595965229675E-2</v>
      </c>
      <c r="L384" s="11">
        <v>60178</v>
      </c>
      <c r="M384" s="15">
        <v>0.47149999999999997</v>
      </c>
      <c r="N384" s="54">
        <f>M385-M384</f>
        <v>3.4400000000000042E-2</v>
      </c>
    </row>
    <row r="385" spans="1:14" ht="17.5" thickBot="1" x14ac:dyDescent="0.5">
      <c r="A385" s="47"/>
      <c r="B385" s="66"/>
      <c r="C385" s="8" t="s">
        <v>7</v>
      </c>
      <c r="D385" s="9">
        <v>8623</v>
      </c>
      <c r="E385" s="9">
        <v>21794</v>
      </c>
      <c r="F385" s="9">
        <f t="shared" si="19"/>
        <v>30417</v>
      </c>
      <c r="G385" s="14">
        <v>0.56840000000000002</v>
      </c>
      <c r="H385" s="53"/>
      <c r="I385" s="9">
        <v>33751</v>
      </c>
      <c r="J385" s="23">
        <f>I385/73511</f>
        <v>0.45912856579287453</v>
      </c>
      <c r="K385" s="53"/>
      <c r="L385" s="9">
        <v>64562</v>
      </c>
      <c r="M385" s="14">
        <v>0.50590000000000002</v>
      </c>
      <c r="N385" s="55"/>
    </row>
    <row r="386" spans="1:14" ht="17.5" thickTop="1" x14ac:dyDescent="0.45">
      <c r="A386" s="47"/>
      <c r="B386" s="65" t="s">
        <v>218</v>
      </c>
      <c r="C386" s="10" t="s">
        <v>6</v>
      </c>
      <c r="D386" s="11">
        <v>3753</v>
      </c>
      <c r="E386" s="11">
        <v>11627</v>
      </c>
      <c r="F386" s="11">
        <f t="shared" si="19"/>
        <v>15380</v>
      </c>
      <c r="G386" s="15">
        <v>0.36830000000000002</v>
      </c>
      <c r="H386" s="52">
        <f>G387-G386</f>
        <v>0.23649999999999999</v>
      </c>
      <c r="I386" s="11">
        <v>29111</v>
      </c>
      <c r="J386" s="24">
        <v>0.45040000000000002</v>
      </c>
      <c r="K386" s="52">
        <f>J387-J386</f>
        <v>6.6199999999999926E-2</v>
      </c>
      <c r="L386" s="11">
        <v>44628</v>
      </c>
      <c r="M386" s="15">
        <v>0.41799999999999998</v>
      </c>
      <c r="N386" s="54">
        <f>M387-M386</f>
        <v>0.13330000000000003</v>
      </c>
    </row>
    <row r="387" spans="1:14" ht="17.5" thickBot="1" x14ac:dyDescent="0.5">
      <c r="A387" s="47"/>
      <c r="B387" s="66"/>
      <c r="C387" s="8" t="s">
        <v>7</v>
      </c>
      <c r="D387" s="9">
        <v>6253</v>
      </c>
      <c r="E387" s="9">
        <v>19003</v>
      </c>
      <c r="F387" s="9">
        <f t="shared" si="19"/>
        <v>25256</v>
      </c>
      <c r="G387" s="14">
        <v>0.6048</v>
      </c>
      <c r="H387" s="53"/>
      <c r="I387" s="9">
        <v>33390</v>
      </c>
      <c r="J387" s="23">
        <v>0.51659999999999995</v>
      </c>
      <c r="K387" s="53"/>
      <c r="L387" s="9">
        <v>58862</v>
      </c>
      <c r="M387" s="14">
        <v>0.55130000000000001</v>
      </c>
      <c r="N387" s="55"/>
    </row>
    <row r="388" spans="1:14" ht="17.5" thickTop="1" x14ac:dyDescent="0.45">
      <c r="A388" s="47"/>
      <c r="B388" s="65" t="s">
        <v>219</v>
      </c>
      <c r="C388" s="10" t="s">
        <v>6</v>
      </c>
      <c r="D388" s="11">
        <v>3685</v>
      </c>
      <c r="E388" s="11">
        <v>9753</v>
      </c>
      <c r="F388" s="11">
        <f t="shared" si="19"/>
        <v>13438</v>
      </c>
      <c r="G388" s="15">
        <v>0.34860000000000002</v>
      </c>
      <c r="H388" s="52">
        <f>G389-G388</f>
        <v>0.27339999999999998</v>
      </c>
      <c r="I388" s="11">
        <v>26544</v>
      </c>
      <c r="J388" s="24">
        <v>0.46210000000000001</v>
      </c>
      <c r="K388" s="52">
        <f>J389-J388</f>
        <v>4.2500000000000038E-2</v>
      </c>
      <c r="L388" s="11">
        <v>40098</v>
      </c>
      <c r="M388" s="15">
        <v>0.41620000000000001</v>
      </c>
      <c r="N388" s="54">
        <f>M389-M388</f>
        <v>0.13580000000000003</v>
      </c>
    </row>
    <row r="389" spans="1:14" ht="17.5" thickBot="1" x14ac:dyDescent="0.5">
      <c r="A389" s="47"/>
      <c r="B389" s="66"/>
      <c r="C389" s="8" t="s">
        <v>7</v>
      </c>
      <c r="D389" s="9">
        <v>6066</v>
      </c>
      <c r="E389" s="9">
        <v>17907</v>
      </c>
      <c r="F389" s="9">
        <f t="shared" si="19"/>
        <v>23973</v>
      </c>
      <c r="G389" s="14">
        <v>0.622</v>
      </c>
      <c r="H389" s="53"/>
      <c r="I389" s="9">
        <v>28985</v>
      </c>
      <c r="J389" s="23">
        <v>0.50460000000000005</v>
      </c>
      <c r="K389" s="53"/>
      <c r="L389" s="9">
        <v>53189</v>
      </c>
      <c r="M389" s="14">
        <v>0.55200000000000005</v>
      </c>
      <c r="N389" s="55"/>
    </row>
    <row r="390" spans="1:14" ht="17.5" thickTop="1" x14ac:dyDescent="0.45">
      <c r="A390" s="47"/>
      <c r="B390" s="65" t="s">
        <v>220</v>
      </c>
      <c r="C390" s="10" t="s">
        <v>6</v>
      </c>
      <c r="D390" s="11">
        <v>4167</v>
      </c>
      <c r="E390" s="11">
        <v>24030</v>
      </c>
      <c r="F390" s="11">
        <f t="shared" si="19"/>
        <v>28197</v>
      </c>
      <c r="G390" s="15">
        <v>0.43330000000000002</v>
      </c>
      <c r="H390" s="52">
        <f>G391-G390</f>
        <v>0.12459999999999993</v>
      </c>
      <c r="I390" s="11">
        <v>31394</v>
      </c>
      <c r="J390" s="24">
        <v>0.54239999999999999</v>
      </c>
      <c r="K390" s="52">
        <f>J391-J390</f>
        <v>-9.4100000000000017E-2</v>
      </c>
      <c r="L390" s="11">
        <v>59855</v>
      </c>
      <c r="M390" s="15">
        <v>0.48420000000000002</v>
      </c>
      <c r="N390" s="54">
        <f>M391-M390</f>
        <v>2.250000000000002E-2</v>
      </c>
    </row>
    <row r="391" spans="1:14" ht="17.5" thickBot="1" x14ac:dyDescent="0.5">
      <c r="A391" s="47"/>
      <c r="B391" s="66"/>
      <c r="C391" s="8" t="s">
        <v>7</v>
      </c>
      <c r="D391" s="9">
        <v>6401</v>
      </c>
      <c r="E391" s="9">
        <v>29907</v>
      </c>
      <c r="F391" s="9">
        <f t="shared" si="19"/>
        <v>36308</v>
      </c>
      <c r="G391" s="14">
        <v>0.55789999999999995</v>
      </c>
      <c r="H391" s="53"/>
      <c r="I391" s="9">
        <v>25950</v>
      </c>
      <c r="J391" s="23">
        <v>0.44829999999999998</v>
      </c>
      <c r="K391" s="53"/>
      <c r="L391" s="9">
        <v>62635</v>
      </c>
      <c r="M391" s="14">
        <v>0.50670000000000004</v>
      </c>
      <c r="N391" s="55"/>
    </row>
    <row r="392" spans="1:14" ht="17.5" thickTop="1" x14ac:dyDescent="0.45">
      <c r="A392" s="47"/>
      <c r="B392" s="58" t="s">
        <v>225</v>
      </c>
      <c r="C392" s="10" t="s">
        <v>6</v>
      </c>
      <c r="D392" s="11">
        <v>2674</v>
      </c>
      <c r="E392" s="11">
        <v>20566</v>
      </c>
      <c r="F392" s="11">
        <f t="shared" si="19"/>
        <v>23240</v>
      </c>
      <c r="G392" s="15">
        <v>0.47820000000000001</v>
      </c>
      <c r="H392" s="52">
        <f>G393-G392</f>
        <v>3.3999999999999975E-2</v>
      </c>
      <c r="I392" s="11">
        <v>23104</v>
      </c>
      <c r="J392" s="24">
        <v>0.56010000000000004</v>
      </c>
      <c r="K392" s="52">
        <f>J393-J392</f>
        <v>-0.13230000000000003</v>
      </c>
      <c r="L392" s="11">
        <v>46505</v>
      </c>
      <c r="M392" s="15">
        <v>0.5151</v>
      </c>
      <c r="N392" s="54">
        <f>M393-M392</f>
        <v>-4.0999999999999981E-2</v>
      </c>
    </row>
    <row r="393" spans="1:14" ht="17.5" thickBot="1" x14ac:dyDescent="0.5">
      <c r="A393" s="47"/>
      <c r="B393" s="59"/>
      <c r="C393" s="8" t="s">
        <v>7</v>
      </c>
      <c r="D393" s="9">
        <v>3708</v>
      </c>
      <c r="E393" s="9">
        <v>21185</v>
      </c>
      <c r="F393" s="9">
        <f t="shared" si="19"/>
        <v>24893</v>
      </c>
      <c r="G393" s="14">
        <v>0.51219999999999999</v>
      </c>
      <c r="H393" s="53"/>
      <c r="I393" s="9">
        <v>17647</v>
      </c>
      <c r="J393" s="23">
        <v>0.42780000000000001</v>
      </c>
      <c r="K393" s="53"/>
      <c r="L393" s="9">
        <v>42802</v>
      </c>
      <c r="M393" s="14">
        <v>0.47410000000000002</v>
      </c>
      <c r="N393" s="55"/>
    </row>
    <row r="394" spans="1:14" ht="17.5" thickTop="1" x14ac:dyDescent="0.45">
      <c r="A394" s="47"/>
      <c r="B394" s="65" t="s">
        <v>221</v>
      </c>
      <c r="C394" s="10" t="s">
        <v>6</v>
      </c>
      <c r="D394" s="11">
        <v>2399</v>
      </c>
      <c r="E394" s="11">
        <v>10979</v>
      </c>
      <c r="F394" s="11">
        <f t="shared" si="19"/>
        <v>13378</v>
      </c>
      <c r="G394" s="15">
        <v>0.39560000000000001</v>
      </c>
      <c r="H394" s="52">
        <f>G395-G394</f>
        <v>0.19</v>
      </c>
      <c r="I394" s="11">
        <v>21057</v>
      </c>
      <c r="J394" s="24">
        <v>0.47649999999999998</v>
      </c>
      <c r="K394" s="52">
        <f>J395-J394</f>
        <v>2.4400000000000033E-2</v>
      </c>
      <c r="L394" s="11">
        <v>34555</v>
      </c>
      <c r="M394" s="15">
        <v>0.441</v>
      </c>
      <c r="N394" s="54">
        <f>M395-M394</f>
        <v>9.6900000000000042E-2</v>
      </c>
    </row>
    <row r="395" spans="1:14" ht="17.5" thickBot="1" x14ac:dyDescent="0.5">
      <c r="A395" s="47"/>
      <c r="B395" s="66"/>
      <c r="C395" s="8" t="s">
        <v>7</v>
      </c>
      <c r="D395" s="9">
        <v>4284</v>
      </c>
      <c r="E395" s="9">
        <v>15520</v>
      </c>
      <c r="F395" s="9">
        <f t="shared" si="19"/>
        <v>19804</v>
      </c>
      <c r="G395" s="14">
        <v>0.58560000000000001</v>
      </c>
      <c r="H395" s="53"/>
      <c r="I395" s="9">
        <v>22134</v>
      </c>
      <c r="J395" s="23">
        <v>0.50090000000000001</v>
      </c>
      <c r="K395" s="53"/>
      <c r="L395" s="9">
        <v>42153</v>
      </c>
      <c r="M395" s="14">
        <v>0.53790000000000004</v>
      </c>
      <c r="N395" s="55"/>
    </row>
    <row r="396" spans="1:14" ht="17.5" thickTop="1" x14ac:dyDescent="0.45">
      <c r="A396" s="47"/>
      <c r="B396" s="65" t="s">
        <v>222</v>
      </c>
      <c r="C396" s="10" t="s">
        <v>6</v>
      </c>
      <c r="D396" s="11">
        <v>4782</v>
      </c>
      <c r="E396" s="11">
        <v>8846</v>
      </c>
      <c r="F396" s="11">
        <f t="shared" si="19"/>
        <v>13628</v>
      </c>
      <c r="G396" s="15">
        <f>F396/(F396+F397)</f>
        <v>0.34449809145832805</v>
      </c>
      <c r="H396" s="52">
        <f>G397-G396</f>
        <v>0.31100381708334385</v>
      </c>
      <c r="I396" s="11">
        <v>24979</v>
      </c>
      <c r="J396" s="24">
        <f>I396/(I396+I397)</f>
        <v>0.43221497413181525</v>
      </c>
      <c r="K396" s="52">
        <f>J397-J396</f>
        <v>0.13557005173636943</v>
      </c>
      <c r="L396" s="11">
        <v>38716</v>
      </c>
      <c r="M396" s="15">
        <f>L396/(L396+L397)</f>
        <v>0.39648533508110767</v>
      </c>
      <c r="N396" s="54">
        <f>M397-M396</f>
        <v>0.20702932983778471</v>
      </c>
    </row>
    <row r="397" spans="1:14" ht="17.5" thickBot="1" x14ac:dyDescent="0.5">
      <c r="A397" s="47"/>
      <c r="B397" s="66"/>
      <c r="C397" s="8" t="s">
        <v>7</v>
      </c>
      <c r="D397" s="9">
        <v>8483</v>
      </c>
      <c r="E397" s="9">
        <v>17448</v>
      </c>
      <c r="F397" s="9">
        <f t="shared" si="19"/>
        <v>25931</v>
      </c>
      <c r="G397" s="14">
        <f>F397/(F397+F396)</f>
        <v>0.6555019085416719</v>
      </c>
      <c r="H397" s="53"/>
      <c r="I397" s="9">
        <v>32814</v>
      </c>
      <c r="J397" s="23">
        <f>I397/(I397+I396)</f>
        <v>0.56778502586818469</v>
      </c>
      <c r="K397" s="53"/>
      <c r="L397" s="9">
        <v>58932</v>
      </c>
      <c r="M397" s="14">
        <f>L397/(L397+L396)</f>
        <v>0.60351466491889239</v>
      </c>
      <c r="N397" s="55"/>
    </row>
    <row r="398" spans="1:14" ht="17.5" thickTop="1" x14ac:dyDescent="0.45">
      <c r="A398" s="47"/>
      <c r="B398" s="58" t="s">
        <v>224</v>
      </c>
      <c r="C398" s="10" t="s">
        <v>6</v>
      </c>
      <c r="D398" s="11">
        <v>4494</v>
      </c>
      <c r="E398" s="11">
        <v>28628</v>
      </c>
      <c r="F398" s="11">
        <f t="shared" si="19"/>
        <v>33122</v>
      </c>
      <c r="G398" s="15">
        <f>F398/(F398+F399)</f>
        <v>0.46766632779848638</v>
      </c>
      <c r="H398" s="52">
        <f>G399-G398</f>
        <v>6.4667344403027238E-2</v>
      </c>
      <c r="I398" s="11">
        <v>37012</v>
      </c>
      <c r="J398" s="24">
        <f>I398/(I398+I399)</f>
        <v>0.56786032096719752</v>
      </c>
      <c r="K398" s="52">
        <f>J399-J398</f>
        <v>-0.13572064193439504</v>
      </c>
      <c r="L398" s="11">
        <v>70487</v>
      </c>
      <c r="M398" s="15">
        <f>L398/(L398+L399)</f>
        <v>0.51559882670489876</v>
      </c>
      <c r="N398" s="54">
        <f>M399-M398</f>
        <v>-3.1197653409797466E-2</v>
      </c>
    </row>
    <row r="399" spans="1:14" ht="17.5" thickBot="1" x14ac:dyDescent="0.5">
      <c r="A399" s="47"/>
      <c r="B399" s="59"/>
      <c r="C399" s="8" t="s">
        <v>7</v>
      </c>
      <c r="D399" s="9">
        <v>5890</v>
      </c>
      <c r="E399" s="9">
        <v>31812</v>
      </c>
      <c r="F399" s="9">
        <f t="shared" si="19"/>
        <v>37702</v>
      </c>
      <c r="G399" s="14">
        <f>F399/(F399+F398)</f>
        <v>0.53233367220151362</v>
      </c>
      <c r="H399" s="53"/>
      <c r="I399" s="9">
        <v>28166</v>
      </c>
      <c r="J399" s="23">
        <f>I399/(I399+I398)</f>
        <v>0.43213967903280248</v>
      </c>
      <c r="K399" s="53"/>
      <c r="L399" s="9">
        <v>66222</v>
      </c>
      <c r="M399" s="14">
        <f>L399/(L399+L398)</f>
        <v>0.48440117329510129</v>
      </c>
      <c r="N399" s="55"/>
    </row>
    <row r="400" spans="1:14" ht="17.5" thickTop="1" x14ac:dyDescent="0.45">
      <c r="A400" s="47"/>
      <c r="B400" s="65" t="s">
        <v>223</v>
      </c>
      <c r="C400" s="10" t="s">
        <v>6</v>
      </c>
      <c r="D400" s="11">
        <v>4239</v>
      </c>
      <c r="E400" s="11">
        <v>20227</v>
      </c>
      <c r="F400" s="11">
        <f t="shared" si="19"/>
        <v>24466</v>
      </c>
      <c r="G400" s="15">
        <v>0.41649999999999998</v>
      </c>
      <c r="H400" s="52">
        <f>G401-G400</f>
        <v>0.14660000000000006</v>
      </c>
      <c r="I400" s="11">
        <v>32023</v>
      </c>
      <c r="J400" s="24">
        <v>0.52539999999999998</v>
      </c>
      <c r="K400" s="52">
        <f>J401-J400</f>
        <v>-7.0299999999999974E-2</v>
      </c>
      <c r="L400" s="11">
        <v>56706</v>
      </c>
      <c r="M400" s="15">
        <v>0.47149999999999997</v>
      </c>
      <c r="N400" s="54">
        <f>M401-M400</f>
        <v>3.6999999999999977E-2</v>
      </c>
    </row>
    <row r="401" spans="1:14" ht="17.5" thickBot="1" x14ac:dyDescent="0.5">
      <c r="A401" s="47"/>
      <c r="B401" s="66"/>
      <c r="C401" s="8" t="s">
        <v>7</v>
      </c>
      <c r="D401" s="9">
        <v>6367</v>
      </c>
      <c r="E401" s="9">
        <v>26713</v>
      </c>
      <c r="F401" s="9">
        <f t="shared" si="19"/>
        <v>33080</v>
      </c>
      <c r="G401" s="14">
        <v>0.56310000000000004</v>
      </c>
      <c r="H401" s="53"/>
      <c r="I401" s="9">
        <v>27741</v>
      </c>
      <c r="J401" s="23">
        <v>0.4551</v>
      </c>
      <c r="K401" s="53"/>
      <c r="L401" s="9">
        <v>61146</v>
      </c>
      <c r="M401" s="14">
        <v>0.50849999999999995</v>
      </c>
      <c r="N401" s="55"/>
    </row>
    <row r="402" spans="1:14" ht="17.5" thickTop="1" x14ac:dyDescent="0.45">
      <c r="A402" s="47"/>
      <c r="B402" s="65" t="s">
        <v>226</v>
      </c>
      <c r="C402" s="10" t="s">
        <v>6</v>
      </c>
      <c r="D402" s="11">
        <v>2881</v>
      </c>
      <c r="E402" s="11">
        <v>16019</v>
      </c>
      <c r="F402" s="11">
        <f t="shared" si="19"/>
        <v>18900</v>
      </c>
      <c r="G402" s="15">
        <f>F402/(F402+F403)</f>
        <v>0.42693532720413835</v>
      </c>
      <c r="H402" s="52">
        <f>G403-G402</f>
        <v>0.14612934559172336</v>
      </c>
      <c r="I402" s="11">
        <v>23963</v>
      </c>
      <c r="J402" s="24">
        <f>I402/(I402+I403)</f>
        <v>0.53770896443397287</v>
      </c>
      <c r="K402" s="52">
        <f>J403-J402</f>
        <v>-7.5417928867945738E-2</v>
      </c>
      <c r="L402" s="11">
        <v>42983</v>
      </c>
      <c r="M402" s="15">
        <f>L402/(L402+L403)</f>
        <v>0.48219654476105006</v>
      </c>
      <c r="N402" s="54">
        <f>M403-M402</f>
        <v>3.5606910477899933E-2</v>
      </c>
    </row>
    <row r="403" spans="1:14" ht="17.5" thickBot="1" x14ac:dyDescent="0.5">
      <c r="A403" s="47"/>
      <c r="B403" s="66"/>
      <c r="C403" s="8" t="s">
        <v>7</v>
      </c>
      <c r="D403" s="9">
        <v>4079</v>
      </c>
      <c r="E403" s="9">
        <v>21290</v>
      </c>
      <c r="F403" s="9">
        <f t="shared" si="19"/>
        <v>25369</v>
      </c>
      <c r="G403" s="14">
        <f>F403/(F403+F402)</f>
        <v>0.57306467279586171</v>
      </c>
      <c r="H403" s="53"/>
      <c r="I403" s="9">
        <v>20602</v>
      </c>
      <c r="J403" s="23">
        <f>I403/(I403+I402)</f>
        <v>0.46229103556602713</v>
      </c>
      <c r="K403" s="53"/>
      <c r="L403" s="9">
        <v>46157</v>
      </c>
      <c r="M403" s="14">
        <f>L403/(L403+L402)</f>
        <v>0.51780345523894999</v>
      </c>
      <c r="N403" s="55"/>
    </row>
    <row r="404" spans="1:14" ht="17.5" thickTop="1" x14ac:dyDescent="0.45">
      <c r="A404" s="47"/>
      <c r="B404" s="58" t="s">
        <v>227</v>
      </c>
      <c r="C404" s="10" t="s">
        <v>6</v>
      </c>
      <c r="D404" s="11">
        <v>4203</v>
      </c>
      <c r="E404" s="11">
        <v>21661</v>
      </c>
      <c r="F404" s="11">
        <f t="shared" si="19"/>
        <v>25864</v>
      </c>
      <c r="G404" s="15">
        <f>F404/(F404+F405)</f>
        <v>0.4937291209315644</v>
      </c>
      <c r="H404" s="52">
        <f>G405-G404</f>
        <v>1.2541758136871195E-2</v>
      </c>
      <c r="I404" s="11">
        <v>30972</v>
      </c>
      <c r="J404" s="24">
        <f>I404/(I404+I405)</f>
        <v>0.60550135872221467</v>
      </c>
      <c r="K404" s="52">
        <f>J405-J404</f>
        <v>-0.21100271744442928</v>
      </c>
      <c r="L404" s="11">
        <v>57043</v>
      </c>
      <c r="M404" s="15">
        <f>L404/(L404+L405)</f>
        <v>0.54841128683362972</v>
      </c>
      <c r="N404" s="54">
        <f>M405-M404</f>
        <v>-9.6822573667259493E-2</v>
      </c>
    </row>
    <row r="405" spans="1:14" ht="17.5" thickBot="1" x14ac:dyDescent="0.5">
      <c r="A405" s="48"/>
      <c r="B405" s="59"/>
      <c r="C405" s="8" t="s">
        <v>7</v>
      </c>
      <c r="D405" s="9">
        <v>6224</v>
      </c>
      <c r="E405" s="9">
        <v>20297</v>
      </c>
      <c r="F405" s="9">
        <f t="shared" si="19"/>
        <v>26521</v>
      </c>
      <c r="G405" s="14">
        <f>F405/(F405+F404)</f>
        <v>0.5062708790684356</v>
      </c>
      <c r="H405" s="53"/>
      <c r="I405" s="9">
        <v>20179</v>
      </c>
      <c r="J405" s="23">
        <f>I405/(I405+I404)</f>
        <v>0.39449864127778539</v>
      </c>
      <c r="K405" s="53"/>
      <c r="L405" s="9">
        <v>46972</v>
      </c>
      <c r="M405" s="14">
        <f>L405/(L405+L404)</f>
        <v>0.45158871316637023</v>
      </c>
      <c r="N405" s="55"/>
    </row>
    <row r="406" spans="1:14" ht="17.5" thickTop="1" x14ac:dyDescent="0.45">
      <c r="A406" s="46" t="s">
        <v>228</v>
      </c>
      <c r="B406" s="65" t="s">
        <v>229</v>
      </c>
      <c r="C406" s="10" t="s">
        <v>6</v>
      </c>
      <c r="D406" s="11">
        <v>1669</v>
      </c>
      <c r="E406" s="11">
        <v>4219</v>
      </c>
      <c r="F406" s="11">
        <f t="shared" si="19"/>
        <v>5888</v>
      </c>
      <c r="G406" s="15">
        <v>0.1008</v>
      </c>
      <c r="H406" s="52">
        <f>G407-G406</f>
        <v>0.70169999999999999</v>
      </c>
      <c r="I406" s="11">
        <v>6874</v>
      </c>
      <c r="J406" s="24">
        <v>0.1431</v>
      </c>
      <c r="K406" s="52">
        <f>J407-J406</f>
        <v>0.60140000000000005</v>
      </c>
      <c r="L406" s="11">
        <v>12867</v>
      </c>
      <c r="M406" s="15">
        <v>0.1202</v>
      </c>
      <c r="N406" s="54">
        <f>M407-M406</f>
        <v>0.65570000000000006</v>
      </c>
    </row>
    <row r="407" spans="1:14" ht="17.5" thickBot="1" x14ac:dyDescent="0.5">
      <c r="A407" s="47"/>
      <c r="B407" s="66"/>
      <c r="C407" s="8" t="s">
        <v>7</v>
      </c>
      <c r="D407" s="9">
        <v>13018</v>
      </c>
      <c r="E407" s="9">
        <v>33834</v>
      </c>
      <c r="F407" s="9">
        <f t="shared" si="19"/>
        <v>46852</v>
      </c>
      <c r="G407" s="14">
        <v>0.80249999999999999</v>
      </c>
      <c r="H407" s="53"/>
      <c r="I407" s="9">
        <v>35770</v>
      </c>
      <c r="J407" s="23">
        <v>0.74450000000000005</v>
      </c>
      <c r="K407" s="53"/>
      <c r="L407" s="9">
        <v>83081</v>
      </c>
      <c r="M407" s="14">
        <v>0.77590000000000003</v>
      </c>
      <c r="N407" s="55"/>
    </row>
    <row r="408" spans="1:14" ht="17.5" thickTop="1" x14ac:dyDescent="0.45">
      <c r="A408" s="47"/>
      <c r="B408" s="65" t="s">
        <v>230</v>
      </c>
      <c r="C408" s="10" t="s">
        <v>6</v>
      </c>
      <c r="D408" s="11">
        <v>3009</v>
      </c>
      <c r="E408" s="11">
        <v>7645</v>
      </c>
      <c r="F408" s="11">
        <f t="shared" si="19"/>
        <v>10654</v>
      </c>
      <c r="G408" s="15">
        <v>0.1802</v>
      </c>
      <c r="H408" s="52">
        <f>G409-G408</f>
        <v>0.51739999999999997</v>
      </c>
      <c r="I408" s="11">
        <v>12267</v>
      </c>
      <c r="J408" s="24">
        <v>0.2364</v>
      </c>
      <c r="K408" s="52">
        <f>J409-J408</f>
        <v>0.3886</v>
      </c>
      <c r="L408" s="11">
        <v>23014</v>
      </c>
      <c r="M408" s="15">
        <v>0.20630000000000001</v>
      </c>
      <c r="N408" s="54">
        <f>M409-M408</f>
        <v>0.45749999999999991</v>
      </c>
    </row>
    <row r="409" spans="1:14" ht="17.5" thickBot="1" x14ac:dyDescent="0.5">
      <c r="A409" s="47"/>
      <c r="B409" s="66"/>
      <c r="C409" s="8" t="s">
        <v>7</v>
      </c>
      <c r="D409" s="9">
        <v>11361</v>
      </c>
      <c r="E409" s="9">
        <v>29891</v>
      </c>
      <c r="F409" s="9">
        <f t="shared" si="19"/>
        <v>41252</v>
      </c>
      <c r="G409" s="14">
        <v>0.6976</v>
      </c>
      <c r="H409" s="53"/>
      <c r="I409" s="9">
        <v>32431</v>
      </c>
      <c r="J409" s="23">
        <v>0.625</v>
      </c>
      <c r="K409" s="53"/>
      <c r="L409" s="9">
        <v>74038</v>
      </c>
      <c r="M409" s="14">
        <v>0.66379999999999995</v>
      </c>
      <c r="N409" s="55"/>
    </row>
    <row r="410" spans="1:14" ht="17.5" thickTop="1" x14ac:dyDescent="0.45">
      <c r="A410" s="47"/>
      <c r="B410" s="65" t="s">
        <v>231</v>
      </c>
      <c r="C410" s="10" t="s">
        <v>6</v>
      </c>
      <c r="D410" s="11">
        <v>2247</v>
      </c>
      <c r="E410" s="11">
        <v>5624</v>
      </c>
      <c r="F410" s="11">
        <f t="shared" si="19"/>
        <v>7871</v>
      </c>
      <c r="G410" s="15">
        <v>0.1043</v>
      </c>
      <c r="H410" s="52">
        <f>G411-G410</f>
        <v>0.7367999999999999</v>
      </c>
      <c r="I410" s="11">
        <v>9624</v>
      </c>
      <c r="J410" s="24">
        <v>0.14369999999999999</v>
      </c>
      <c r="K410" s="52">
        <f>J411-J410</f>
        <v>0.65480000000000005</v>
      </c>
      <c r="L410" s="11">
        <v>17589</v>
      </c>
      <c r="M410" s="15">
        <v>0.123</v>
      </c>
      <c r="N410" s="54">
        <f>M411-M410</f>
        <v>0.69789999999999996</v>
      </c>
    </row>
    <row r="411" spans="1:14" ht="17.5" thickBot="1" x14ac:dyDescent="0.5">
      <c r="A411" s="47"/>
      <c r="B411" s="66"/>
      <c r="C411" s="8" t="s">
        <v>7</v>
      </c>
      <c r="D411" s="9">
        <v>15425</v>
      </c>
      <c r="E411" s="9">
        <v>48056</v>
      </c>
      <c r="F411" s="9">
        <f t="shared" ref="F411:F445" si="20">SUM(D411:E411)</f>
        <v>63481</v>
      </c>
      <c r="G411" s="14">
        <v>0.84109999999999996</v>
      </c>
      <c r="H411" s="53"/>
      <c r="I411" s="9">
        <v>53490</v>
      </c>
      <c r="J411" s="23">
        <v>0.79849999999999999</v>
      </c>
      <c r="K411" s="53"/>
      <c r="L411" s="9">
        <v>117407</v>
      </c>
      <c r="M411" s="14">
        <v>0.82089999999999996</v>
      </c>
      <c r="N411" s="55"/>
    </row>
    <row r="412" spans="1:14" ht="17.5" thickTop="1" x14ac:dyDescent="0.45">
      <c r="A412" s="47"/>
      <c r="B412" s="65" t="s">
        <v>232</v>
      </c>
      <c r="C412" s="10" t="s">
        <v>6</v>
      </c>
      <c r="D412" s="11">
        <v>1361</v>
      </c>
      <c r="E412" s="11">
        <v>6263</v>
      </c>
      <c r="F412" s="11">
        <f t="shared" si="20"/>
        <v>7624</v>
      </c>
      <c r="G412" s="15">
        <f>F412/(F412+F413)</f>
        <v>0.10841711579755692</v>
      </c>
      <c r="H412" s="52">
        <f>G413-G412</f>
        <v>0.78316576840488628</v>
      </c>
      <c r="I412" s="11">
        <v>9932</v>
      </c>
      <c r="J412" s="24">
        <f>I412/(I412+I413)</f>
        <v>0.16004898801082892</v>
      </c>
      <c r="K412" s="52">
        <f>J413-J412</f>
        <v>0.67990202397834221</v>
      </c>
      <c r="L412" s="11">
        <v>17639</v>
      </c>
      <c r="M412" s="15">
        <f>L412/(L412+L413)</f>
        <v>0.1326879099717157</v>
      </c>
      <c r="N412" s="54">
        <f>M413-M412</f>
        <v>0.73462418005656849</v>
      </c>
    </row>
    <row r="413" spans="1:14" ht="17.5" thickBot="1" x14ac:dyDescent="0.5">
      <c r="A413" s="47"/>
      <c r="B413" s="66"/>
      <c r="C413" s="8" t="s">
        <v>7</v>
      </c>
      <c r="D413" s="9">
        <v>8304</v>
      </c>
      <c r="E413" s="9">
        <v>54393</v>
      </c>
      <c r="F413" s="9">
        <f t="shared" si="20"/>
        <v>62697</v>
      </c>
      <c r="G413" s="14">
        <f>F413/(F413+F412)</f>
        <v>0.89158288420244314</v>
      </c>
      <c r="H413" s="53"/>
      <c r="I413" s="9">
        <v>52124</v>
      </c>
      <c r="J413" s="23">
        <f>I413/(I413+I412)</f>
        <v>0.8399510119891711</v>
      </c>
      <c r="K413" s="53"/>
      <c r="L413" s="9">
        <v>115297</v>
      </c>
      <c r="M413" s="14">
        <f>L413/(L413+L412)</f>
        <v>0.86731209002828424</v>
      </c>
      <c r="N413" s="55"/>
    </row>
    <row r="414" spans="1:14" ht="17.5" thickTop="1" x14ac:dyDescent="0.45">
      <c r="A414" s="47"/>
      <c r="B414" s="65" t="s">
        <v>233</v>
      </c>
      <c r="C414" s="10" t="s">
        <v>6</v>
      </c>
      <c r="D414" s="11">
        <v>1062</v>
      </c>
      <c r="E414" s="11">
        <v>3432</v>
      </c>
      <c r="F414" s="11">
        <f t="shared" si="20"/>
        <v>4494</v>
      </c>
      <c r="G414" s="15">
        <v>8.4699999999999998E-2</v>
      </c>
      <c r="H414" s="52">
        <f>G415-G414</f>
        <v>0.79320000000000002</v>
      </c>
      <c r="I414" s="11">
        <v>3431</v>
      </c>
      <c r="J414" s="24">
        <v>0.1143</v>
      </c>
      <c r="K414" s="52">
        <f>J415-J414</f>
        <v>0.73270000000000002</v>
      </c>
      <c r="L414" s="11">
        <v>8007</v>
      </c>
      <c r="M414" s="15">
        <v>9.5699999999999993E-2</v>
      </c>
      <c r="N414" s="54">
        <f>M415-M414</f>
        <v>0.77059999999999995</v>
      </c>
    </row>
    <row r="415" spans="1:14" ht="17.5" thickBot="1" x14ac:dyDescent="0.5">
      <c r="A415" s="47"/>
      <c r="B415" s="66"/>
      <c r="C415" s="8" t="s">
        <v>7</v>
      </c>
      <c r="D415" s="9">
        <v>8129</v>
      </c>
      <c r="E415" s="9">
        <v>38455</v>
      </c>
      <c r="F415" s="9">
        <f t="shared" si="20"/>
        <v>46584</v>
      </c>
      <c r="G415" s="14">
        <v>0.87790000000000001</v>
      </c>
      <c r="H415" s="53"/>
      <c r="I415" s="9">
        <v>25434</v>
      </c>
      <c r="J415" s="23">
        <v>0.84699999999999998</v>
      </c>
      <c r="K415" s="53"/>
      <c r="L415" s="9">
        <v>72455</v>
      </c>
      <c r="M415" s="14">
        <v>0.86629999999999996</v>
      </c>
      <c r="N415" s="55"/>
    </row>
    <row r="416" spans="1:14" ht="17.5" thickTop="1" x14ac:dyDescent="0.45">
      <c r="A416" s="47"/>
      <c r="B416" s="65" t="s">
        <v>234</v>
      </c>
      <c r="C416" s="10" t="s">
        <v>6</v>
      </c>
      <c r="D416" s="11">
        <v>871</v>
      </c>
      <c r="E416" s="11">
        <v>2782</v>
      </c>
      <c r="F416" s="11">
        <f t="shared" si="20"/>
        <v>3653</v>
      </c>
      <c r="G416" s="15">
        <v>8.4599999999999995E-2</v>
      </c>
      <c r="H416" s="52">
        <f>G417-G416</f>
        <v>0.70579999999999998</v>
      </c>
      <c r="I416" s="11">
        <v>4045</v>
      </c>
      <c r="J416" s="24">
        <v>0.12280000000000001</v>
      </c>
      <c r="K416" s="52">
        <f>J417-J416</f>
        <v>0.62319999999999998</v>
      </c>
      <c r="L416" s="11">
        <v>7743</v>
      </c>
      <c r="M416" s="15">
        <v>0.1012</v>
      </c>
      <c r="N416" s="54">
        <f>M417-M416</f>
        <v>0.66990000000000005</v>
      </c>
    </row>
    <row r="417" spans="1:14" ht="17.5" thickBot="1" x14ac:dyDescent="0.5">
      <c r="A417" s="47"/>
      <c r="B417" s="66"/>
      <c r="C417" s="8" t="s">
        <v>7</v>
      </c>
      <c r="D417" s="9">
        <v>6693</v>
      </c>
      <c r="E417" s="9">
        <v>27457</v>
      </c>
      <c r="F417" s="9">
        <f t="shared" si="20"/>
        <v>34150</v>
      </c>
      <c r="G417" s="14">
        <v>0.79039999999999999</v>
      </c>
      <c r="H417" s="53"/>
      <c r="I417" s="9">
        <v>24578</v>
      </c>
      <c r="J417" s="23">
        <v>0.746</v>
      </c>
      <c r="K417" s="53"/>
      <c r="L417" s="9">
        <v>58984</v>
      </c>
      <c r="M417" s="14">
        <v>0.77110000000000001</v>
      </c>
      <c r="N417" s="55"/>
    </row>
    <row r="418" spans="1:14" ht="17.5" thickTop="1" x14ac:dyDescent="0.45">
      <c r="A418" s="47"/>
      <c r="B418" s="65" t="s">
        <v>235</v>
      </c>
      <c r="C418" s="10" t="s">
        <v>6</v>
      </c>
      <c r="D418" s="11">
        <v>1191</v>
      </c>
      <c r="E418" s="11">
        <v>2780</v>
      </c>
      <c r="F418" s="11">
        <f t="shared" si="20"/>
        <v>3971</v>
      </c>
      <c r="G418" s="15">
        <v>0.1222</v>
      </c>
      <c r="H418" s="52">
        <f>G419-G418</f>
        <v>1.0468</v>
      </c>
      <c r="I418" s="11">
        <v>4272</v>
      </c>
      <c r="J418" s="24">
        <v>0.10199999999999999</v>
      </c>
      <c r="K418" s="52">
        <f>J419-J418</f>
        <v>0.53670000000000007</v>
      </c>
      <c r="L418" s="11">
        <v>8288</v>
      </c>
      <c r="M418" s="15">
        <v>0.1109</v>
      </c>
      <c r="N418" s="54">
        <f>M419-M418</f>
        <v>0.75939999999999996</v>
      </c>
    </row>
    <row r="419" spans="1:14" ht="17.5" thickBot="1" x14ac:dyDescent="0.5">
      <c r="A419" s="47"/>
      <c r="B419" s="66"/>
      <c r="C419" s="8" t="s">
        <v>7</v>
      </c>
      <c r="D419" s="9">
        <v>8871</v>
      </c>
      <c r="E419" s="9">
        <v>29113</v>
      </c>
      <c r="F419" s="9">
        <f t="shared" si="20"/>
        <v>37984</v>
      </c>
      <c r="G419" s="14">
        <v>1.169</v>
      </c>
      <c r="H419" s="53"/>
      <c r="I419" s="9">
        <v>26741</v>
      </c>
      <c r="J419" s="23">
        <v>0.63870000000000005</v>
      </c>
      <c r="K419" s="53"/>
      <c r="L419" s="9">
        <v>65027</v>
      </c>
      <c r="M419" s="14">
        <v>0.87029999999999996</v>
      </c>
      <c r="N419" s="55"/>
    </row>
    <row r="420" spans="1:14" ht="17.5" thickTop="1" x14ac:dyDescent="0.45">
      <c r="A420" s="47"/>
      <c r="B420" s="65" t="s">
        <v>236</v>
      </c>
      <c r="C420" s="10" t="s">
        <v>6</v>
      </c>
      <c r="D420" s="11">
        <v>893</v>
      </c>
      <c r="E420" s="11">
        <v>4355</v>
      </c>
      <c r="F420" s="11">
        <f t="shared" si="20"/>
        <v>5248</v>
      </c>
      <c r="G420" s="15">
        <v>9.1899999999999996E-2</v>
      </c>
      <c r="H420" s="52">
        <f>G421-G420</f>
        <v>0.79330000000000001</v>
      </c>
      <c r="I420" s="11">
        <v>4242</v>
      </c>
      <c r="J420" s="24">
        <v>0.12529999999999999</v>
      </c>
      <c r="K420" s="52">
        <f>J421-J420</f>
        <v>0.71689999999999998</v>
      </c>
      <c r="L420" s="11">
        <v>9595</v>
      </c>
      <c r="M420" s="15">
        <v>0.1047</v>
      </c>
      <c r="N420" s="54">
        <f>M421-M420</f>
        <v>0.76390000000000002</v>
      </c>
    </row>
    <row r="421" spans="1:14" ht="17.5" thickBot="1" x14ac:dyDescent="0.5">
      <c r="A421" s="47"/>
      <c r="B421" s="66"/>
      <c r="C421" s="8" t="s">
        <v>7</v>
      </c>
      <c r="D421" s="9">
        <v>7033</v>
      </c>
      <c r="E421" s="9">
        <v>43514</v>
      </c>
      <c r="F421" s="9">
        <f t="shared" si="20"/>
        <v>50547</v>
      </c>
      <c r="G421" s="14">
        <v>0.88519999999999999</v>
      </c>
      <c r="H421" s="53"/>
      <c r="I421" s="9">
        <v>28503</v>
      </c>
      <c r="J421" s="23">
        <v>0.84219999999999995</v>
      </c>
      <c r="K421" s="53"/>
      <c r="L421" s="9">
        <v>79593</v>
      </c>
      <c r="M421" s="14">
        <v>0.86860000000000004</v>
      </c>
      <c r="N421" s="55"/>
    </row>
    <row r="422" spans="1:14" ht="17.5" thickTop="1" x14ac:dyDescent="0.45">
      <c r="A422" s="47"/>
      <c r="B422" s="65" t="s">
        <v>237</v>
      </c>
      <c r="C422" s="10" t="s">
        <v>6</v>
      </c>
      <c r="D422" s="11">
        <v>1226</v>
      </c>
      <c r="E422" s="11">
        <v>5099</v>
      </c>
      <c r="F422" s="11">
        <f t="shared" si="20"/>
        <v>6325</v>
      </c>
      <c r="G422" s="15">
        <v>0.1027</v>
      </c>
      <c r="H422" s="52">
        <f>G423-G422</f>
        <v>0.75039999999999996</v>
      </c>
      <c r="I422" s="11">
        <v>4621</v>
      </c>
      <c r="J422" s="24">
        <v>0.1434</v>
      </c>
      <c r="K422" s="52">
        <f>J423-J422</f>
        <v>0.66710000000000003</v>
      </c>
      <c r="L422" s="11">
        <v>11035</v>
      </c>
      <c r="M422" s="15">
        <v>0.1168</v>
      </c>
      <c r="N422" s="54">
        <f>M423-M422</f>
        <v>0.72150000000000003</v>
      </c>
    </row>
    <row r="423" spans="1:14" ht="17.5" thickBot="1" x14ac:dyDescent="0.5">
      <c r="A423" s="47"/>
      <c r="B423" s="66"/>
      <c r="C423" s="8" t="s">
        <v>7</v>
      </c>
      <c r="D423" s="9">
        <v>8615</v>
      </c>
      <c r="E423" s="9">
        <v>43930</v>
      </c>
      <c r="F423" s="9">
        <f t="shared" si="20"/>
        <v>52545</v>
      </c>
      <c r="G423" s="14">
        <v>0.85309999999999997</v>
      </c>
      <c r="H423" s="53"/>
      <c r="I423" s="9">
        <v>26125</v>
      </c>
      <c r="J423" s="23">
        <v>0.8105</v>
      </c>
      <c r="K423" s="53"/>
      <c r="L423" s="9">
        <v>79169</v>
      </c>
      <c r="M423" s="14">
        <v>0.83830000000000005</v>
      </c>
      <c r="N423" s="55"/>
    </row>
    <row r="424" spans="1:14" ht="17.5" thickTop="1" x14ac:dyDescent="0.45">
      <c r="A424" s="47"/>
      <c r="B424" s="65" t="s">
        <v>238</v>
      </c>
      <c r="C424" s="10" t="s">
        <v>6</v>
      </c>
      <c r="D424" s="11">
        <v>1836</v>
      </c>
      <c r="E424" s="11">
        <v>5495</v>
      </c>
      <c r="F424" s="11">
        <f t="shared" si="20"/>
        <v>7331</v>
      </c>
      <c r="G424" s="15">
        <f>F424/(F424+F425)</f>
        <v>0.13945215902606048</v>
      </c>
      <c r="H424" s="52">
        <f>G425-G424</f>
        <v>0.7210956819478791</v>
      </c>
      <c r="I424" s="11">
        <v>6283</v>
      </c>
      <c r="J424" s="24">
        <f>I424/(I424+I425)</f>
        <v>0.18547601476014761</v>
      </c>
      <c r="K424" s="52">
        <f>J425-J424</f>
        <v>0.62904797047970473</v>
      </c>
      <c r="L424" s="11">
        <v>13703</v>
      </c>
      <c r="M424" s="15">
        <f>L424/(L424+L425)</f>
        <v>0.15761625967632478</v>
      </c>
      <c r="N424" s="54">
        <f>M425-M424</f>
        <v>0.68476748064735049</v>
      </c>
    </row>
    <row r="425" spans="1:14" ht="17.5" thickBot="1" x14ac:dyDescent="0.5">
      <c r="A425" s="48"/>
      <c r="B425" s="66"/>
      <c r="C425" s="8" t="s">
        <v>7</v>
      </c>
      <c r="D425" s="9">
        <v>10781</v>
      </c>
      <c r="E425" s="9">
        <v>34458</v>
      </c>
      <c r="F425" s="9">
        <f t="shared" si="20"/>
        <v>45239</v>
      </c>
      <c r="G425" s="14">
        <f>F425/(F425+F424)</f>
        <v>0.86054784097393955</v>
      </c>
      <c r="H425" s="53"/>
      <c r="I425" s="9">
        <v>27592</v>
      </c>
      <c r="J425" s="23">
        <f>I425/(I425+I424)</f>
        <v>0.81452398523985237</v>
      </c>
      <c r="K425" s="53"/>
      <c r="L425" s="9">
        <v>73236</v>
      </c>
      <c r="M425" s="14">
        <f>L425/(L425+L424)</f>
        <v>0.84238374032367525</v>
      </c>
      <c r="N425" s="55"/>
    </row>
    <row r="426" spans="1:14" ht="17.5" thickTop="1" x14ac:dyDescent="0.45">
      <c r="A426" s="46" t="s">
        <v>243</v>
      </c>
      <c r="B426" s="65" t="s">
        <v>244</v>
      </c>
      <c r="C426" s="10" t="s">
        <v>6</v>
      </c>
      <c r="D426" s="11">
        <v>719</v>
      </c>
      <c r="E426" s="11">
        <v>2613</v>
      </c>
      <c r="F426" s="11">
        <f t="shared" si="20"/>
        <v>3332</v>
      </c>
      <c r="G426" s="15">
        <v>4.7500000000000001E-2</v>
      </c>
      <c r="H426" s="52">
        <f>G427-G426</f>
        <v>0.6845</v>
      </c>
      <c r="I426" s="11">
        <v>2993</v>
      </c>
      <c r="J426" s="24">
        <v>6.6600000000000006E-2</v>
      </c>
      <c r="K426" s="52">
        <f>J427-J426</f>
        <v>0.61940000000000006</v>
      </c>
      <c r="L426" s="11">
        <v>6393</v>
      </c>
      <c r="M426" s="15">
        <v>5.5199999999999999E-2</v>
      </c>
      <c r="N426" s="54">
        <f>M427-M426</f>
        <v>0.65910000000000002</v>
      </c>
    </row>
    <row r="427" spans="1:14" ht="17.5" thickBot="1" x14ac:dyDescent="0.5">
      <c r="A427" s="47"/>
      <c r="B427" s="66"/>
      <c r="C427" s="8" t="s">
        <v>7</v>
      </c>
      <c r="D427" s="9">
        <v>7741</v>
      </c>
      <c r="E427" s="9">
        <v>43584</v>
      </c>
      <c r="F427" s="9">
        <f t="shared" si="20"/>
        <v>51325</v>
      </c>
      <c r="G427" s="14">
        <v>0.73199999999999998</v>
      </c>
      <c r="H427" s="53"/>
      <c r="I427" s="9">
        <v>30820</v>
      </c>
      <c r="J427" s="23">
        <v>0.68600000000000005</v>
      </c>
      <c r="K427" s="53"/>
      <c r="L427" s="9">
        <v>82700</v>
      </c>
      <c r="M427" s="14">
        <v>0.71430000000000005</v>
      </c>
      <c r="N427" s="55"/>
    </row>
    <row r="428" spans="1:14" ht="17.5" thickTop="1" x14ac:dyDescent="0.45">
      <c r="A428" s="47"/>
      <c r="B428" s="65" t="s">
        <v>252</v>
      </c>
      <c r="C428" s="10" t="s">
        <v>6</v>
      </c>
      <c r="D428" s="11">
        <v>832</v>
      </c>
      <c r="E428" s="11">
        <v>3416</v>
      </c>
      <c r="F428" s="11">
        <f t="shared" si="20"/>
        <v>4248</v>
      </c>
      <c r="G428" s="15">
        <f>F428/(F428+F429)</f>
        <v>9.9410278011794445E-2</v>
      </c>
      <c r="H428" s="52">
        <f>G429-G428</f>
        <v>0.80117944397641105</v>
      </c>
      <c r="I428" s="11">
        <v>4336</v>
      </c>
      <c r="J428" s="24">
        <f>I428/(I428+I429)</f>
        <v>0.12506850500447086</v>
      </c>
      <c r="K428" s="52">
        <f>J429-J428</f>
        <v>0.74986298999105827</v>
      </c>
      <c r="L428" s="11">
        <v>8633</v>
      </c>
      <c r="M428" s="15">
        <f>L428/(L428+L429)</f>
        <v>0.1110710839498231</v>
      </c>
      <c r="N428" s="54">
        <f>M429-M428</f>
        <v>0.77785783210035375</v>
      </c>
    </row>
    <row r="429" spans="1:14" ht="17.5" thickBot="1" x14ac:dyDescent="0.5">
      <c r="A429" s="47"/>
      <c r="B429" s="66"/>
      <c r="C429" s="8" t="s">
        <v>7</v>
      </c>
      <c r="D429" s="9">
        <v>6432</v>
      </c>
      <c r="E429" s="9">
        <v>32052</v>
      </c>
      <c r="F429" s="9">
        <f t="shared" si="20"/>
        <v>38484</v>
      </c>
      <c r="G429" s="14">
        <f>F429/(F429+F428)</f>
        <v>0.90058972198820553</v>
      </c>
      <c r="H429" s="53"/>
      <c r="I429" s="9">
        <v>30333</v>
      </c>
      <c r="J429" s="23">
        <f>I429/(I429+I428)</f>
        <v>0.87493149499552914</v>
      </c>
      <c r="K429" s="53"/>
      <c r="L429" s="9">
        <v>69092</v>
      </c>
      <c r="M429" s="14">
        <f>L429/(L429+L428)</f>
        <v>0.88892891605017688</v>
      </c>
      <c r="N429" s="55"/>
    </row>
    <row r="430" spans="1:14" ht="17.5" thickTop="1" x14ac:dyDescent="0.45">
      <c r="A430" s="47"/>
      <c r="B430" s="65" t="s">
        <v>253</v>
      </c>
      <c r="C430" s="10" t="s">
        <v>6</v>
      </c>
      <c r="D430" s="11">
        <v>568</v>
      </c>
      <c r="E430" s="11">
        <v>1166</v>
      </c>
      <c r="F430" s="11">
        <f t="shared" si="20"/>
        <v>1734</v>
      </c>
      <c r="G430" s="15">
        <v>4.2599999999999999E-2</v>
      </c>
      <c r="H430" s="52">
        <f>G431-G430</f>
        <v>0.66100000000000003</v>
      </c>
      <c r="I430" s="11">
        <v>2274</v>
      </c>
      <c r="J430" s="24">
        <v>6.4699999999999994E-2</v>
      </c>
      <c r="K430" s="52">
        <f>J431-J430</f>
        <v>0.58810000000000007</v>
      </c>
      <c r="L430" s="11">
        <v>4032</v>
      </c>
      <c r="M430" s="15">
        <v>5.2900000000000003E-2</v>
      </c>
      <c r="N430" s="54">
        <f>M431-M430</f>
        <v>0.62719999999999998</v>
      </c>
    </row>
    <row r="431" spans="1:14" ht="17.5" thickBot="1" x14ac:dyDescent="0.5">
      <c r="A431" s="47"/>
      <c r="B431" s="66"/>
      <c r="C431" s="8" t="s">
        <v>7</v>
      </c>
      <c r="D431" s="9">
        <v>7202</v>
      </c>
      <c r="E431" s="9">
        <v>21456</v>
      </c>
      <c r="F431" s="9">
        <f t="shared" si="20"/>
        <v>28658</v>
      </c>
      <c r="G431" s="14">
        <v>0.7036</v>
      </c>
      <c r="H431" s="53"/>
      <c r="I431" s="9">
        <v>22963</v>
      </c>
      <c r="J431" s="23">
        <v>0.65280000000000005</v>
      </c>
      <c r="K431" s="53"/>
      <c r="L431" s="9">
        <v>51811</v>
      </c>
      <c r="M431" s="14">
        <v>0.68010000000000004</v>
      </c>
      <c r="N431" s="55"/>
    </row>
    <row r="432" spans="1:14" ht="17.5" thickTop="1" x14ac:dyDescent="0.45">
      <c r="A432" s="47"/>
      <c r="B432" s="65" t="s">
        <v>245</v>
      </c>
      <c r="C432" s="10" t="s">
        <v>6</v>
      </c>
      <c r="D432" s="11">
        <v>1151</v>
      </c>
      <c r="E432" s="11">
        <v>4163</v>
      </c>
      <c r="F432" s="11">
        <f t="shared" si="20"/>
        <v>5314</v>
      </c>
      <c r="G432" s="15">
        <v>7.4300000000000005E-2</v>
      </c>
      <c r="H432" s="52">
        <f>G433-G432</f>
        <v>0.59599999999999997</v>
      </c>
      <c r="I432" s="11">
        <v>6195</v>
      </c>
      <c r="J432" s="24">
        <v>0.1027</v>
      </c>
      <c r="K432" s="52">
        <f>J433-J432</f>
        <v>0.50819999999999999</v>
      </c>
      <c r="L432" s="11">
        <v>11592</v>
      </c>
      <c r="M432" s="15">
        <v>8.7599999999999997E-2</v>
      </c>
      <c r="N432" s="54">
        <f>M433-M432</f>
        <v>0.55579999999999996</v>
      </c>
    </row>
    <row r="433" spans="1:14" ht="17.5" thickBot="1" x14ac:dyDescent="0.5">
      <c r="A433" s="47"/>
      <c r="B433" s="66"/>
      <c r="C433" s="8" t="s">
        <v>7</v>
      </c>
      <c r="D433" s="9">
        <v>8023</v>
      </c>
      <c r="E433" s="9">
        <v>39892</v>
      </c>
      <c r="F433" s="9">
        <f t="shared" si="20"/>
        <v>47915</v>
      </c>
      <c r="G433" s="14">
        <v>0.67030000000000001</v>
      </c>
      <c r="H433" s="53"/>
      <c r="I433" s="9">
        <v>36853</v>
      </c>
      <c r="J433" s="23">
        <v>0.6109</v>
      </c>
      <c r="K433" s="53"/>
      <c r="L433" s="9">
        <v>85172</v>
      </c>
      <c r="M433" s="14">
        <v>0.64339999999999997</v>
      </c>
      <c r="N433" s="55"/>
    </row>
    <row r="434" spans="1:14" ht="17.5" thickTop="1" x14ac:dyDescent="0.45">
      <c r="A434" s="47"/>
      <c r="B434" s="65" t="s">
        <v>246</v>
      </c>
      <c r="C434" s="10" t="s">
        <v>6</v>
      </c>
      <c r="D434" s="11">
        <v>4100</v>
      </c>
      <c r="E434" s="11">
        <v>14720</v>
      </c>
      <c r="F434" s="11">
        <f t="shared" si="20"/>
        <v>18820</v>
      </c>
      <c r="G434" s="15">
        <v>0.223</v>
      </c>
      <c r="H434" s="52">
        <f>G435-G434</f>
        <v>0.43090000000000006</v>
      </c>
      <c r="I434" s="11">
        <v>16314</v>
      </c>
      <c r="J434" s="24">
        <v>0.25469999999999998</v>
      </c>
      <c r="K434" s="52">
        <f>J435-J434</f>
        <v>0.42219999999999996</v>
      </c>
      <c r="L434" s="11">
        <v>35283</v>
      </c>
      <c r="M434" s="15">
        <v>0.23669999999999999</v>
      </c>
      <c r="N434" s="54">
        <f>M435-M434</f>
        <v>0.46429999999999993</v>
      </c>
    </row>
    <row r="435" spans="1:14" ht="17.5" thickBot="1" x14ac:dyDescent="0.5">
      <c r="A435" s="47"/>
      <c r="B435" s="66"/>
      <c r="C435" s="8" t="s">
        <v>7</v>
      </c>
      <c r="D435" s="9">
        <v>13872</v>
      </c>
      <c r="E435" s="9">
        <v>41316</v>
      </c>
      <c r="F435" s="9">
        <f t="shared" si="20"/>
        <v>55188</v>
      </c>
      <c r="G435" s="14">
        <v>0.65390000000000004</v>
      </c>
      <c r="H435" s="53"/>
      <c r="I435" s="9">
        <v>43358</v>
      </c>
      <c r="J435" s="23">
        <v>0.67689999999999995</v>
      </c>
      <c r="K435" s="53"/>
      <c r="L435" s="9">
        <v>104493</v>
      </c>
      <c r="M435" s="14">
        <v>0.70099999999999996</v>
      </c>
      <c r="N435" s="55"/>
    </row>
    <row r="436" spans="1:14" ht="17.5" thickTop="1" x14ac:dyDescent="0.45">
      <c r="A436" s="47"/>
      <c r="B436" s="65" t="s">
        <v>247</v>
      </c>
      <c r="C436" s="10" t="s">
        <v>6</v>
      </c>
      <c r="D436" s="11">
        <v>1287</v>
      </c>
      <c r="E436" s="11">
        <v>3868</v>
      </c>
      <c r="F436" s="11">
        <f t="shared" si="20"/>
        <v>5155</v>
      </c>
      <c r="G436" s="15">
        <v>8.7800000000000003E-2</v>
      </c>
      <c r="H436" s="52">
        <f>G437-G436</f>
        <v>0.7036</v>
      </c>
      <c r="I436" s="11">
        <v>4348</v>
      </c>
      <c r="J436" s="24">
        <v>9.64E-2</v>
      </c>
      <c r="K436" s="52">
        <f>J437-J436</f>
        <v>0.50869999999999993</v>
      </c>
      <c r="L436" s="11">
        <v>9560</v>
      </c>
      <c r="M436" s="15">
        <v>9.1700000000000004E-2</v>
      </c>
      <c r="N436" s="54">
        <f>M437-M436</f>
        <v>0.61899999999999999</v>
      </c>
    </row>
    <row r="437" spans="1:14" ht="17.5" thickBot="1" x14ac:dyDescent="0.5">
      <c r="A437" s="47"/>
      <c r="B437" s="66"/>
      <c r="C437" s="8" t="s">
        <v>7</v>
      </c>
      <c r="D437" s="9">
        <v>10676</v>
      </c>
      <c r="E437" s="9">
        <v>35765</v>
      </c>
      <c r="F437" s="9">
        <f t="shared" si="20"/>
        <v>46441</v>
      </c>
      <c r="G437" s="14">
        <v>0.79139999999999999</v>
      </c>
      <c r="H437" s="53"/>
      <c r="I437" s="9">
        <v>27286</v>
      </c>
      <c r="J437" s="23">
        <v>0.60509999999999997</v>
      </c>
      <c r="K437" s="53"/>
      <c r="L437" s="9">
        <v>74063</v>
      </c>
      <c r="M437" s="14">
        <v>0.7107</v>
      </c>
      <c r="N437" s="55"/>
    </row>
    <row r="438" spans="1:14" ht="17.5" thickTop="1" x14ac:dyDescent="0.45">
      <c r="A438" s="47"/>
      <c r="B438" s="65" t="s">
        <v>248</v>
      </c>
      <c r="C438" s="10" t="s">
        <v>6</v>
      </c>
      <c r="D438" s="11">
        <v>915</v>
      </c>
      <c r="E438" s="11">
        <v>2002</v>
      </c>
      <c r="F438" s="11">
        <f t="shared" si="20"/>
        <v>2917</v>
      </c>
      <c r="G438" s="15">
        <v>4.02E-2</v>
      </c>
      <c r="H438" s="52">
        <f>G439-G438</f>
        <v>0.43269999999999997</v>
      </c>
      <c r="I438" s="11">
        <v>1925</v>
      </c>
      <c r="J438" s="24">
        <v>6.2199999999999998E-2</v>
      </c>
      <c r="K438" s="52">
        <f>J439-J438</f>
        <v>0.53120000000000001</v>
      </c>
      <c r="L438" s="11">
        <v>4904</v>
      </c>
      <c r="M438" s="15">
        <v>4.5400000000000003E-2</v>
      </c>
      <c r="N438" s="54">
        <f>M439-M438</f>
        <v>0.51929999999999998</v>
      </c>
    </row>
    <row r="439" spans="1:14" ht="17.5" thickBot="1" x14ac:dyDescent="0.5">
      <c r="A439" s="47"/>
      <c r="B439" s="66"/>
      <c r="C439" s="8" t="s">
        <v>7</v>
      </c>
      <c r="D439" s="9">
        <v>10230</v>
      </c>
      <c r="E439" s="9">
        <v>24041</v>
      </c>
      <c r="F439" s="9">
        <f t="shared" si="20"/>
        <v>34271</v>
      </c>
      <c r="G439" s="14">
        <v>0.47289999999999999</v>
      </c>
      <c r="H439" s="53"/>
      <c r="I439" s="9">
        <v>18364</v>
      </c>
      <c r="J439" s="23">
        <v>0.59340000000000004</v>
      </c>
      <c r="K439" s="53"/>
      <c r="L439" s="9">
        <v>61042</v>
      </c>
      <c r="M439" s="14">
        <v>0.56469999999999998</v>
      </c>
      <c r="N439" s="55"/>
    </row>
    <row r="440" spans="1:14" ht="17.5" thickTop="1" x14ac:dyDescent="0.45">
      <c r="A440" s="47"/>
      <c r="B440" s="65" t="s">
        <v>249</v>
      </c>
      <c r="C440" s="10" t="s">
        <v>6</v>
      </c>
      <c r="D440" s="11">
        <v>1193</v>
      </c>
      <c r="E440" s="11">
        <v>4222</v>
      </c>
      <c r="F440" s="11">
        <f t="shared" si="20"/>
        <v>5415</v>
      </c>
      <c r="G440" s="15">
        <f>F440/(F440+F441)</f>
        <v>8.2337377976461998E-2</v>
      </c>
      <c r="H440" s="52">
        <f>G441-G440</f>
        <v>0.83532524404707598</v>
      </c>
      <c r="I440" s="11">
        <v>4301</v>
      </c>
      <c r="J440" s="24">
        <f>I440/(I440+I441)</f>
        <v>0.11088766854874056</v>
      </c>
      <c r="K440" s="52">
        <f>J441-J440</f>
        <v>0.7782246629025189</v>
      </c>
      <c r="L440" s="11">
        <v>9840</v>
      </c>
      <c r="M440" s="15">
        <f>L440/(L440+L441)</f>
        <v>9.3538789128967556E-2</v>
      </c>
      <c r="N440" s="54">
        <f>M441-M440</f>
        <v>0.81292242174206497</v>
      </c>
    </row>
    <row r="441" spans="1:14" ht="17.5" thickBot="1" x14ac:dyDescent="0.5">
      <c r="A441" s="47"/>
      <c r="B441" s="66"/>
      <c r="C441" s="8" t="s">
        <v>7</v>
      </c>
      <c r="D441" s="9">
        <v>9526</v>
      </c>
      <c r="E441" s="9">
        <v>50825</v>
      </c>
      <c r="F441" s="9">
        <f t="shared" si="20"/>
        <v>60351</v>
      </c>
      <c r="G441" s="14">
        <f>F441/(F441+F440)</f>
        <v>0.91766262202353799</v>
      </c>
      <c r="H441" s="53"/>
      <c r="I441" s="9">
        <v>34486</v>
      </c>
      <c r="J441" s="23">
        <f>I441/(I441+I440)</f>
        <v>0.88911233145125945</v>
      </c>
      <c r="K441" s="53"/>
      <c r="L441" s="9">
        <v>95357</v>
      </c>
      <c r="M441" s="14">
        <f>L441/(L441+L440)</f>
        <v>0.90646121087103249</v>
      </c>
      <c r="N441" s="55"/>
    </row>
    <row r="442" spans="1:14" ht="17.5" thickTop="1" x14ac:dyDescent="0.45">
      <c r="A442" s="47"/>
      <c r="B442" s="65" t="s">
        <v>250</v>
      </c>
      <c r="C442" s="10" t="s">
        <v>6</v>
      </c>
      <c r="D442" s="11">
        <v>751</v>
      </c>
      <c r="E442" s="11">
        <v>2907</v>
      </c>
      <c r="F442" s="11">
        <f t="shared" si="20"/>
        <v>3658</v>
      </c>
      <c r="G442" s="15">
        <f>F442/(F442+F443)</f>
        <v>6.9729317575295463E-2</v>
      </c>
      <c r="H442" s="52">
        <f>G443-G442</f>
        <v>0.86054136484940913</v>
      </c>
      <c r="I442" s="11">
        <v>2754</v>
      </c>
      <c r="J442" s="24">
        <f>I442/(I442+I443)</f>
        <v>9.1455517550559556E-2</v>
      </c>
      <c r="K442" s="52">
        <f>J443-J442</f>
        <v>0.81708896489888083</v>
      </c>
      <c r="L442" s="11">
        <v>6481</v>
      </c>
      <c r="M442" s="15">
        <f>L442/(L442+L443)</f>
        <v>7.6422380755851657E-2</v>
      </c>
      <c r="N442" s="54">
        <f>M443-M442</f>
        <v>0.84715523848829677</v>
      </c>
    </row>
    <row r="443" spans="1:14" ht="17.5" thickBot="1" x14ac:dyDescent="0.5">
      <c r="A443" s="47"/>
      <c r="B443" s="66"/>
      <c r="C443" s="8" t="s">
        <v>7</v>
      </c>
      <c r="D443" s="9">
        <v>6236</v>
      </c>
      <c r="E443" s="9">
        <v>42566</v>
      </c>
      <c r="F443" s="9">
        <f t="shared" si="20"/>
        <v>48802</v>
      </c>
      <c r="G443" s="14">
        <f>F443/(F443+F442)</f>
        <v>0.93027068242470456</v>
      </c>
      <c r="H443" s="53"/>
      <c r="I443" s="9">
        <v>27359</v>
      </c>
      <c r="J443" s="23">
        <f>I443/(I443+I442)</f>
        <v>0.90854448244944042</v>
      </c>
      <c r="K443" s="53"/>
      <c r="L443" s="9">
        <v>78324</v>
      </c>
      <c r="M443" s="14">
        <f>L443/(L443+L442)</f>
        <v>0.92357761924414838</v>
      </c>
      <c r="N443" s="55"/>
    </row>
    <row r="444" spans="1:14" ht="17.5" thickTop="1" x14ac:dyDescent="0.45">
      <c r="A444" s="47"/>
      <c r="B444" s="65" t="s">
        <v>251</v>
      </c>
      <c r="C444" s="10" t="s">
        <v>6</v>
      </c>
      <c r="D444" s="11">
        <v>1337</v>
      </c>
      <c r="E444" s="11">
        <v>2589</v>
      </c>
      <c r="F444" s="11">
        <f t="shared" si="20"/>
        <v>3926</v>
      </c>
      <c r="G444" s="15">
        <v>5.7200000000000001E-2</v>
      </c>
      <c r="H444" s="52">
        <f>G445-G444</f>
        <v>0.64689999999999992</v>
      </c>
      <c r="I444" s="11">
        <v>2880</v>
      </c>
      <c r="J444" s="24">
        <v>7.9399999999999998E-2</v>
      </c>
      <c r="K444" s="52">
        <f>J445-J444</f>
        <v>0.58550000000000002</v>
      </c>
      <c r="L444" s="11">
        <v>6891</v>
      </c>
      <c r="M444" s="15">
        <v>6.5199999999999994E-2</v>
      </c>
      <c r="N444" s="54">
        <f>M445-M444</f>
        <v>0.62649999999999995</v>
      </c>
    </row>
    <row r="445" spans="1:14" ht="17.5" thickBot="1" x14ac:dyDescent="0.5">
      <c r="A445" s="48"/>
      <c r="B445" s="66"/>
      <c r="C445" s="8" t="s">
        <v>7</v>
      </c>
      <c r="D445" s="9">
        <v>13688</v>
      </c>
      <c r="E445" s="9">
        <v>34634</v>
      </c>
      <c r="F445" s="9">
        <f t="shared" si="20"/>
        <v>48322</v>
      </c>
      <c r="G445" s="14">
        <v>0.70409999999999995</v>
      </c>
      <c r="H445" s="53"/>
      <c r="I445" s="9">
        <v>24111</v>
      </c>
      <c r="J445" s="23">
        <v>0.66490000000000005</v>
      </c>
      <c r="K445" s="53"/>
      <c r="L445" s="9">
        <v>73053</v>
      </c>
      <c r="M445" s="14">
        <v>0.69169999999999998</v>
      </c>
      <c r="N445" s="55"/>
    </row>
    <row r="446" spans="1:14" ht="17.5" thickTop="1" x14ac:dyDescent="0.45">
      <c r="A446" s="46" t="s">
        <v>254</v>
      </c>
      <c r="B446" s="56" t="s">
        <v>255</v>
      </c>
      <c r="C446" s="10" t="s">
        <v>6</v>
      </c>
      <c r="D446" s="11">
        <v>6274</v>
      </c>
      <c r="E446" s="11">
        <v>26750</v>
      </c>
      <c r="F446" s="11">
        <f t="shared" ref="F446:F465" si="21">SUM(D446:E446)</f>
        <v>33024</v>
      </c>
      <c r="G446" s="15">
        <v>0.57340000000000002</v>
      </c>
      <c r="H446" s="52">
        <f>G447-G446</f>
        <v>-0.23480000000000001</v>
      </c>
      <c r="I446" s="11">
        <v>57920</v>
      </c>
      <c r="J446" s="24">
        <v>0.65659999999999996</v>
      </c>
      <c r="K446" s="52">
        <f>J447-J446</f>
        <v>-0.40049999999999997</v>
      </c>
      <c r="L446" s="11">
        <v>91249</v>
      </c>
      <c r="M446" s="15">
        <v>0.62339999999999995</v>
      </c>
      <c r="N446" s="54">
        <f>M447-M446</f>
        <v>-0.33429999999999993</v>
      </c>
    </row>
    <row r="447" spans="1:14" ht="17.5" thickBot="1" x14ac:dyDescent="0.5">
      <c r="A447" s="47"/>
      <c r="B447" s="57"/>
      <c r="C447" s="8" t="s">
        <v>7</v>
      </c>
      <c r="D447" s="9">
        <v>4837</v>
      </c>
      <c r="E447" s="9">
        <v>14665</v>
      </c>
      <c r="F447" s="9">
        <f t="shared" si="21"/>
        <v>19502</v>
      </c>
      <c r="G447" s="14">
        <v>0.33860000000000001</v>
      </c>
      <c r="H447" s="53"/>
      <c r="I447" s="9">
        <v>22590</v>
      </c>
      <c r="J447" s="23">
        <v>0.25609999999999999</v>
      </c>
      <c r="K447" s="53"/>
      <c r="L447" s="9">
        <v>42311</v>
      </c>
      <c r="M447" s="14">
        <v>0.28910000000000002</v>
      </c>
      <c r="N447" s="55"/>
    </row>
    <row r="448" spans="1:14" ht="17.5" thickTop="1" x14ac:dyDescent="0.45">
      <c r="A448" s="47"/>
      <c r="B448" s="56" t="s">
        <v>256</v>
      </c>
      <c r="C448" s="10" t="s">
        <v>6</v>
      </c>
      <c r="D448" s="11">
        <v>5750</v>
      </c>
      <c r="E448" s="11">
        <v>27464</v>
      </c>
      <c r="F448" s="11">
        <f t="shared" si="21"/>
        <v>33214</v>
      </c>
      <c r="G448" s="15">
        <f>F448/(F448+F449)</f>
        <v>0.65713042101930996</v>
      </c>
      <c r="H448" s="52">
        <f>G449-G448</f>
        <v>-0.31426084203861987</v>
      </c>
      <c r="I448" s="11">
        <v>53248</v>
      </c>
      <c r="J448" s="24">
        <f>I448/(I448+I449)</f>
        <v>0.73118752059760517</v>
      </c>
      <c r="K448" s="52">
        <f>J449-J448</f>
        <v>-0.46237504119521033</v>
      </c>
      <c r="L448" s="11">
        <v>86740</v>
      </c>
      <c r="M448" s="15">
        <f>L448/(L448+L449)</f>
        <v>0.70030679799773943</v>
      </c>
      <c r="N448" s="54">
        <f>M449-M448</f>
        <v>-0.4006135959954788</v>
      </c>
    </row>
    <row r="449" spans="1:14" ht="17.5" thickBot="1" x14ac:dyDescent="0.5">
      <c r="A449" s="47"/>
      <c r="B449" s="57"/>
      <c r="C449" s="8" t="s">
        <v>7</v>
      </c>
      <c r="D449" s="9">
        <v>3859</v>
      </c>
      <c r="E449" s="9">
        <v>13471</v>
      </c>
      <c r="F449" s="9">
        <f t="shared" si="21"/>
        <v>17330</v>
      </c>
      <c r="G449" s="14">
        <f>F449/(F449+F448)</f>
        <v>0.34286957898069009</v>
      </c>
      <c r="H449" s="53"/>
      <c r="I449" s="9">
        <v>19576</v>
      </c>
      <c r="J449" s="23">
        <f>I449/(I449+I448)</f>
        <v>0.26881247940239483</v>
      </c>
      <c r="K449" s="53"/>
      <c r="L449" s="9">
        <v>37120</v>
      </c>
      <c r="M449" s="14">
        <f>L449/(L449+L448)</f>
        <v>0.29969320200226063</v>
      </c>
      <c r="N449" s="55"/>
    </row>
    <row r="450" spans="1:14" ht="17.5" thickTop="1" x14ac:dyDescent="0.45">
      <c r="A450" s="47"/>
      <c r="B450" s="56" t="s">
        <v>257</v>
      </c>
      <c r="C450" s="10" t="s">
        <v>6</v>
      </c>
      <c r="D450" s="11">
        <v>5552</v>
      </c>
      <c r="E450" s="11">
        <v>37498</v>
      </c>
      <c r="F450" s="11">
        <f t="shared" si="21"/>
        <v>43050</v>
      </c>
      <c r="G450" s="15">
        <v>0.63129999999999997</v>
      </c>
      <c r="H450" s="52">
        <f>G451-G450</f>
        <v>-0.35479999999999995</v>
      </c>
      <c r="I450" s="11">
        <v>48660</v>
      </c>
      <c r="J450" s="24">
        <v>0.68389999999999995</v>
      </c>
      <c r="K450" s="52">
        <f>J451-J450</f>
        <v>-0.47449999999999992</v>
      </c>
      <c r="L450" s="11">
        <v>92074</v>
      </c>
      <c r="M450" s="15">
        <v>0.65780000000000005</v>
      </c>
      <c r="N450" s="54">
        <f>M451-M450</f>
        <v>-0.41510000000000002</v>
      </c>
    </row>
    <row r="451" spans="1:14" ht="17.5" thickBot="1" x14ac:dyDescent="0.5">
      <c r="A451" s="47"/>
      <c r="B451" s="57"/>
      <c r="C451" s="8" t="s">
        <v>7</v>
      </c>
      <c r="D451" s="9">
        <v>3575</v>
      </c>
      <c r="E451" s="9">
        <v>15279</v>
      </c>
      <c r="F451" s="9">
        <f t="shared" si="21"/>
        <v>18854</v>
      </c>
      <c r="G451" s="14">
        <v>0.27650000000000002</v>
      </c>
      <c r="H451" s="53"/>
      <c r="I451" s="9">
        <v>14896</v>
      </c>
      <c r="J451" s="23">
        <v>0.2094</v>
      </c>
      <c r="K451" s="53"/>
      <c r="L451" s="9">
        <v>33968</v>
      </c>
      <c r="M451" s="14">
        <v>0.2427</v>
      </c>
      <c r="N451" s="55"/>
    </row>
    <row r="452" spans="1:14" ht="17.5" thickTop="1" x14ac:dyDescent="0.45">
      <c r="A452" s="47"/>
      <c r="B452" s="56" t="s">
        <v>258</v>
      </c>
      <c r="C452" s="10" t="s">
        <v>6</v>
      </c>
      <c r="D452" s="11">
        <v>3191</v>
      </c>
      <c r="E452" s="11">
        <v>22088</v>
      </c>
      <c r="F452" s="11">
        <f t="shared" si="21"/>
        <v>25279</v>
      </c>
      <c r="G452" s="15">
        <v>0.62280000000000002</v>
      </c>
      <c r="H452" s="52">
        <f>G453-G452</f>
        <v>-0.35470000000000002</v>
      </c>
      <c r="I452" s="11">
        <v>25656</v>
      </c>
      <c r="J452" s="24">
        <v>0.69669999999999999</v>
      </c>
      <c r="K452" s="52">
        <f>J453-J452</f>
        <v>-0.50449999999999995</v>
      </c>
      <c r="L452" s="11">
        <v>51208</v>
      </c>
      <c r="M452" s="15">
        <v>0.65790000000000004</v>
      </c>
      <c r="N452" s="54">
        <f>M453-M452</f>
        <v>-0.42560000000000003</v>
      </c>
    </row>
    <row r="453" spans="1:14" ht="17.5" thickBot="1" x14ac:dyDescent="0.5">
      <c r="A453" s="47"/>
      <c r="B453" s="57"/>
      <c r="C453" s="8" t="s">
        <v>7</v>
      </c>
      <c r="D453" s="9">
        <v>2028</v>
      </c>
      <c r="E453" s="9">
        <v>8854</v>
      </c>
      <c r="F453" s="9">
        <f t="shared" si="21"/>
        <v>10882</v>
      </c>
      <c r="G453" s="14">
        <v>0.2681</v>
      </c>
      <c r="H453" s="53"/>
      <c r="I453" s="9">
        <v>7076</v>
      </c>
      <c r="J453" s="23">
        <v>0.19220000000000001</v>
      </c>
      <c r="K453" s="53"/>
      <c r="L453" s="9">
        <v>18079</v>
      </c>
      <c r="M453" s="14">
        <v>0.23230000000000001</v>
      </c>
      <c r="N453" s="55"/>
    </row>
    <row r="454" spans="1:14" ht="17.5" thickTop="1" x14ac:dyDescent="0.45">
      <c r="A454" s="47"/>
      <c r="B454" s="56" t="s">
        <v>259</v>
      </c>
      <c r="C454" s="10" t="s">
        <v>6</v>
      </c>
      <c r="D454" s="11">
        <v>5028</v>
      </c>
      <c r="E454" s="11">
        <v>34968</v>
      </c>
      <c r="F454" s="11">
        <f t="shared" si="21"/>
        <v>39996</v>
      </c>
      <c r="G454" s="15">
        <v>0.64349999999999996</v>
      </c>
      <c r="H454" s="52">
        <f>G455-G454</f>
        <v>-0.32049999999999995</v>
      </c>
      <c r="I454" s="11">
        <v>40649</v>
      </c>
      <c r="J454" s="24">
        <v>0.7097</v>
      </c>
      <c r="K454" s="52">
        <f>J455-J454</f>
        <v>-0.45779999999999998</v>
      </c>
      <c r="L454" s="11">
        <v>81040</v>
      </c>
      <c r="M454" s="15">
        <v>0.67469999999999997</v>
      </c>
      <c r="N454" s="54">
        <f>M455-M454</f>
        <v>-0.38539999999999996</v>
      </c>
    </row>
    <row r="455" spans="1:14" ht="17.5" thickBot="1" x14ac:dyDescent="0.5">
      <c r="A455" s="47"/>
      <c r="B455" s="57"/>
      <c r="C455" s="8" t="s">
        <v>7</v>
      </c>
      <c r="D455" s="9">
        <v>4071</v>
      </c>
      <c r="E455" s="9">
        <v>16007</v>
      </c>
      <c r="F455" s="9">
        <f t="shared" si="21"/>
        <v>20078</v>
      </c>
      <c r="G455" s="14">
        <v>0.32300000000000001</v>
      </c>
      <c r="H455" s="53"/>
      <c r="I455" s="9">
        <v>14428</v>
      </c>
      <c r="J455" s="23">
        <v>0.25190000000000001</v>
      </c>
      <c r="K455" s="53"/>
      <c r="L455" s="9">
        <v>34748</v>
      </c>
      <c r="M455" s="14">
        <v>0.2893</v>
      </c>
      <c r="N455" s="55"/>
    </row>
    <row r="456" spans="1:14" ht="17.5" thickTop="1" x14ac:dyDescent="0.45">
      <c r="A456" s="47"/>
      <c r="B456" s="56" t="s">
        <v>260</v>
      </c>
      <c r="C456" s="10" t="s">
        <v>6</v>
      </c>
      <c r="D456" s="11">
        <v>5443</v>
      </c>
      <c r="E456" s="11">
        <v>27849</v>
      </c>
      <c r="F456" s="11">
        <f t="shared" si="21"/>
        <v>33292</v>
      </c>
      <c r="G456" s="15">
        <f>F456/(F456+F457)</f>
        <v>0.68407750631844988</v>
      </c>
      <c r="H456" s="52">
        <f>G457-G456</f>
        <v>-0.36815501263689976</v>
      </c>
      <c r="I456" s="11">
        <v>42598</v>
      </c>
      <c r="J456" s="24">
        <f>I456/(I456+I457)</f>
        <v>0.76285816618911173</v>
      </c>
      <c r="K456" s="52">
        <f>J457-J456</f>
        <v>-0.52571633237822346</v>
      </c>
      <c r="L456" s="11">
        <v>76100</v>
      </c>
      <c r="M456" s="15">
        <f>L456/(L456+L457)</f>
        <v>0.72580568245762955</v>
      </c>
      <c r="N456" s="54">
        <f>M457-M456</f>
        <v>-0.45161136491525911</v>
      </c>
    </row>
    <row r="457" spans="1:14" ht="17.5" thickBot="1" x14ac:dyDescent="0.5">
      <c r="A457" s="47"/>
      <c r="B457" s="57"/>
      <c r="C457" s="8" t="s">
        <v>7</v>
      </c>
      <c r="D457" s="9">
        <v>3122</v>
      </c>
      <c r="E457" s="9">
        <v>12253</v>
      </c>
      <c r="F457" s="9">
        <f t="shared" si="21"/>
        <v>15375</v>
      </c>
      <c r="G457" s="14">
        <f>F457/(F457+F456)</f>
        <v>0.31592249368155012</v>
      </c>
      <c r="H457" s="53"/>
      <c r="I457" s="9">
        <v>13242</v>
      </c>
      <c r="J457" s="23">
        <f>I457/(I457+I456)</f>
        <v>0.23714183381088824</v>
      </c>
      <c r="K457" s="53"/>
      <c r="L457" s="9">
        <v>28749</v>
      </c>
      <c r="M457" s="14">
        <f>L457/(L457+L456)</f>
        <v>0.27419431754237045</v>
      </c>
      <c r="N457" s="55"/>
    </row>
    <row r="458" spans="1:14" ht="17.5" thickTop="1" x14ac:dyDescent="0.45">
      <c r="A458" s="47"/>
      <c r="B458" s="56" t="s">
        <v>261</v>
      </c>
      <c r="C458" s="10" t="s">
        <v>6</v>
      </c>
      <c r="D458" s="11">
        <v>7193</v>
      </c>
      <c r="E458" s="11">
        <v>17298</v>
      </c>
      <c r="F458" s="11">
        <f t="shared" si="21"/>
        <v>24491</v>
      </c>
      <c r="G458" s="15">
        <v>0.61670000000000003</v>
      </c>
      <c r="H458" s="52">
        <f>G459-G458</f>
        <v>-0.24610000000000004</v>
      </c>
      <c r="I458" s="11">
        <v>36488</v>
      </c>
      <c r="J458" s="24">
        <v>0.6804</v>
      </c>
      <c r="K458" s="52">
        <f>J459-J458</f>
        <v>-0.37459999999999999</v>
      </c>
      <c r="L458" s="11">
        <v>61166</v>
      </c>
      <c r="M458" s="15">
        <v>0.65290000000000004</v>
      </c>
      <c r="N458" s="54">
        <f>M459-M458</f>
        <v>-0.31920000000000004</v>
      </c>
    </row>
    <row r="459" spans="1:14" ht="17.5" thickBot="1" x14ac:dyDescent="0.5">
      <c r="A459" s="47"/>
      <c r="B459" s="57"/>
      <c r="C459" s="8" t="s">
        <v>7</v>
      </c>
      <c r="D459" s="9">
        <v>4464</v>
      </c>
      <c r="E459" s="9">
        <v>10254</v>
      </c>
      <c r="F459" s="9">
        <f t="shared" si="21"/>
        <v>14718</v>
      </c>
      <c r="G459" s="14">
        <v>0.37059999999999998</v>
      </c>
      <c r="H459" s="53"/>
      <c r="I459" s="9">
        <v>16401</v>
      </c>
      <c r="J459" s="23">
        <v>0.30580000000000002</v>
      </c>
      <c r="K459" s="53"/>
      <c r="L459" s="9">
        <v>31261</v>
      </c>
      <c r="M459" s="14">
        <v>0.3337</v>
      </c>
      <c r="N459" s="55"/>
    </row>
    <row r="460" spans="1:14" ht="17.5" thickTop="1" x14ac:dyDescent="0.45">
      <c r="A460" s="47"/>
      <c r="B460" s="56" t="s">
        <v>268</v>
      </c>
      <c r="C460" s="10" t="s">
        <v>6</v>
      </c>
      <c r="D460" s="11">
        <v>3690</v>
      </c>
      <c r="E460" s="11">
        <v>27148</v>
      </c>
      <c r="F460" s="11">
        <f t="shared" si="21"/>
        <v>30838</v>
      </c>
      <c r="G460" s="15">
        <f>F460/(F460+F461)</f>
        <v>0.69044420562421638</v>
      </c>
      <c r="H460" s="52">
        <f>G461-G460</f>
        <v>-0.38088841124843276</v>
      </c>
      <c r="I460" s="11">
        <v>33171</v>
      </c>
      <c r="J460" s="24">
        <f>I460/(I460+I461)</f>
        <v>0.78746082993068089</v>
      </c>
      <c r="K460" s="52">
        <f>J461-J460</f>
        <v>-0.57492165986136179</v>
      </c>
      <c r="L460" s="11">
        <v>64325</v>
      </c>
      <c r="M460" s="15">
        <f>L460/(L460+L461)</f>
        <v>0.73718169107703591</v>
      </c>
      <c r="N460" s="54">
        <f>M461-M460</f>
        <v>-0.47436338215407181</v>
      </c>
    </row>
    <row r="461" spans="1:14" ht="17.5" thickBot="1" x14ac:dyDescent="0.5">
      <c r="A461" s="47"/>
      <c r="B461" s="57"/>
      <c r="C461" s="8" t="s">
        <v>7</v>
      </c>
      <c r="D461" s="9">
        <v>2545</v>
      </c>
      <c r="E461" s="9">
        <v>11281</v>
      </c>
      <c r="F461" s="9">
        <f t="shared" si="21"/>
        <v>13826</v>
      </c>
      <c r="G461" s="14">
        <f>F461/(F461+F460)</f>
        <v>0.30955579437578362</v>
      </c>
      <c r="H461" s="53"/>
      <c r="I461" s="9">
        <v>8953</v>
      </c>
      <c r="J461" s="23">
        <f>I461/(I461+I460)</f>
        <v>0.21253917006931916</v>
      </c>
      <c r="K461" s="53"/>
      <c r="L461" s="9">
        <v>22933</v>
      </c>
      <c r="M461" s="14">
        <f>L461/(L461+L460)</f>
        <v>0.26281830892296409</v>
      </c>
      <c r="N461" s="55"/>
    </row>
    <row r="462" spans="1:14" ht="17.5" thickTop="1" x14ac:dyDescent="0.45">
      <c r="A462" s="47"/>
      <c r="B462" s="56" t="s">
        <v>262</v>
      </c>
      <c r="C462" s="10" t="s">
        <v>6</v>
      </c>
      <c r="D462" s="11">
        <v>5499</v>
      </c>
      <c r="E462" s="11">
        <v>19371</v>
      </c>
      <c r="F462" s="11">
        <f t="shared" si="21"/>
        <v>24870</v>
      </c>
      <c r="G462" s="15">
        <v>0.58919999999999995</v>
      </c>
      <c r="H462" s="52">
        <f>G463-G462</f>
        <v>-0.35239999999999994</v>
      </c>
      <c r="I462" s="11">
        <v>29848</v>
      </c>
      <c r="J462" s="24">
        <v>0.66769999999999996</v>
      </c>
      <c r="K462" s="52">
        <f>J463-J462</f>
        <v>-0.51279999999999992</v>
      </c>
      <c r="L462" s="11">
        <v>54987</v>
      </c>
      <c r="M462" s="15">
        <v>0.62880000000000003</v>
      </c>
      <c r="N462" s="54">
        <f>M463-M462</f>
        <v>-0.43340000000000001</v>
      </c>
    </row>
    <row r="463" spans="1:14" ht="17.5" thickBot="1" x14ac:dyDescent="0.5">
      <c r="A463" s="47"/>
      <c r="B463" s="57"/>
      <c r="C463" s="8" t="s">
        <v>7</v>
      </c>
      <c r="D463" s="9">
        <v>2581</v>
      </c>
      <c r="E463" s="9">
        <v>7414</v>
      </c>
      <c r="F463" s="9">
        <f t="shared" si="21"/>
        <v>9995</v>
      </c>
      <c r="G463" s="14">
        <v>0.23680000000000001</v>
      </c>
      <c r="H463" s="53"/>
      <c r="I463" s="9">
        <v>6925</v>
      </c>
      <c r="J463" s="23">
        <v>0.15490000000000001</v>
      </c>
      <c r="K463" s="53"/>
      <c r="L463" s="9">
        <v>17083</v>
      </c>
      <c r="M463" s="14">
        <v>0.19539999999999999</v>
      </c>
      <c r="N463" s="55"/>
    </row>
    <row r="464" spans="1:14" ht="17.5" thickTop="1" x14ac:dyDescent="0.45">
      <c r="A464" s="47"/>
      <c r="B464" s="56" t="s">
        <v>263</v>
      </c>
      <c r="C464" s="10" t="s">
        <v>6</v>
      </c>
      <c r="D464" s="11">
        <v>4545</v>
      </c>
      <c r="E464" s="11">
        <v>36748</v>
      </c>
      <c r="F464" s="11">
        <f t="shared" si="21"/>
        <v>41293</v>
      </c>
      <c r="G464" s="15">
        <v>0.74629999999999996</v>
      </c>
      <c r="H464" s="52">
        <f>G465-G464</f>
        <v>-0.52949999999999997</v>
      </c>
      <c r="I464" s="11">
        <v>34741</v>
      </c>
      <c r="J464" s="24">
        <v>0.81779999999999997</v>
      </c>
      <c r="K464" s="52">
        <f>J465-J464</f>
        <v>-0.66779999999999995</v>
      </c>
      <c r="L464" s="11">
        <v>51953</v>
      </c>
      <c r="M464" s="15">
        <v>0.52680000000000005</v>
      </c>
      <c r="N464" s="54">
        <f>M465-M464</f>
        <v>-8.8700000000000057E-2</v>
      </c>
    </row>
    <row r="465" spans="1:15" ht="17.5" thickBot="1" x14ac:dyDescent="0.5">
      <c r="A465" s="47"/>
      <c r="B465" s="57"/>
      <c r="C465" s="8" t="s">
        <v>7</v>
      </c>
      <c r="D465" s="9">
        <v>2548</v>
      </c>
      <c r="E465" s="9">
        <v>9445</v>
      </c>
      <c r="F465" s="9">
        <f t="shared" si="21"/>
        <v>11993</v>
      </c>
      <c r="G465" s="14">
        <v>0.21679999999999999</v>
      </c>
      <c r="H465" s="53"/>
      <c r="I465" s="9">
        <v>6371</v>
      </c>
      <c r="J465" s="23">
        <v>0.15</v>
      </c>
      <c r="K465" s="53"/>
      <c r="L465" s="9">
        <v>43208</v>
      </c>
      <c r="M465" s="14">
        <v>0.43809999999999999</v>
      </c>
      <c r="N465" s="55"/>
    </row>
    <row r="466" spans="1:15" ht="17.5" thickTop="1" x14ac:dyDescent="0.45">
      <c r="A466" s="47"/>
      <c r="B466" s="58" t="s">
        <v>264</v>
      </c>
      <c r="C466" s="10" t="s">
        <v>6</v>
      </c>
      <c r="D466" s="11"/>
      <c r="E466" s="11"/>
      <c r="F466" s="11"/>
      <c r="G466" s="15"/>
      <c r="H466" s="52"/>
      <c r="I466" s="11"/>
      <c r="J466" s="24"/>
      <c r="K466" s="52"/>
      <c r="L466" s="11"/>
      <c r="M466" s="15"/>
      <c r="N466" s="54"/>
      <c r="O466" t="s">
        <v>239</v>
      </c>
    </row>
    <row r="467" spans="1:15" ht="17.5" thickBot="1" x14ac:dyDescent="0.5">
      <c r="A467" s="47"/>
      <c r="B467" s="59"/>
      <c r="C467" s="8" t="s">
        <v>7</v>
      </c>
      <c r="D467" s="9"/>
      <c r="E467" s="9"/>
      <c r="F467" s="9"/>
      <c r="G467" s="14"/>
      <c r="H467" s="53"/>
      <c r="I467" s="9"/>
      <c r="J467" s="23"/>
      <c r="K467" s="53"/>
      <c r="L467" s="9"/>
      <c r="M467" s="14"/>
      <c r="N467" s="55"/>
    </row>
    <row r="468" spans="1:15" ht="17.5" thickTop="1" x14ac:dyDescent="0.45">
      <c r="A468" s="47"/>
      <c r="B468" s="58" t="s">
        <v>265</v>
      </c>
      <c r="C468" s="10" t="s">
        <v>6</v>
      </c>
      <c r="D468" s="11"/>
      <c r="E468" s="11"/>
      <c r="F468" s="11"/>
      <c r="G468" s="15"/>
      <c r="H468" s="52"/>
      <c r="I468" s="11"/>
      <c r="J468" s="24"/>
      <c r="K468" s="52"/>
      <c r="L468" s="11"/>
      <c r="M468" s="15"/>
      <c r="N468" s="54"/>
      <c r="O468" t="s">
        <v>290</v>
      </c>
    </row>
    <row r="469" spans="1:15" ht="17.5" thickBot="1" x14ac:dyDescent="0.5">
      <c r="A469" s="47"/>
      <c r="B469" s="59"/>
      <c r="C469" s="8" t="s">
        <v>7</v>
      </c>
      <c r="D469" s="9"/>
      <c r="E469" s="9"/>
      <c r="F469" s="9"/>
      <c r="G469" s="14"/>
      <c r="H469" s="53"/>
      <c r="I469" s="9"/>
      <c r="J469" s="23"/>
      <c r="K469" s="53"/>
      <c r="L469" s="9"/>
      <c r="M469" s="14"/>
      <c r="N469" s="55"/>
    </row>
    <row r="470" spans="1:15" ht="17.5" thickTop="1" x14ac:dyDescent="0.45">
      <c r="A470" s="47"/>
      <c r="B470" s="56" t="s">
        <v>266</v>
      </c>
      <c r="C470" s="10" t="s">
        <v>6</v>
      </c>
      <c r="D470" s="11">
        <v>6710</v>
      </c>
      <c r="E470" s="11">
        <v>30384</v>
      </c>
      <c r="F470" s="11">
        <f t="shared" ref="F470:F509" si="22">SUM(D470:E470)</f>
        <v>37094</v>
      </c>
      <c r="G470" s="15">
        <v>0.73580000000000001</v>
      </c>
      <c r="H470" s="52">
        <f>G471-G470</f>
        <v>-0.49440000000000001</v>
      </c>
      <c r="I470" s="11">
        <v>40280</v>
      </c>
      <c r="J470" s="24">
        <v>0.78969999999999996</v>
      </c>
      <c r="K470" s="52">
        <f>J471-J470</f>
        <v>-0.6016999999999999</v>
      </c>
      <c r="L470" s="11">
        <v>70222</v>
      </c>
      <c r="M470" s="15">
        <v>0.75539999999999996</v>
      </c>
      <c r="N470" s="54">
        <f>M471-M470</f>
        <v>-0.53410000000000002</v>
      </c>
    </row>
    <row r="471" spans="1:15" ht="17.5" thickBot="1" x14ac:dyDescent="0.5">
      <c r="A471" s="48"/>
      <c r="B471" s="57"/>
      <c r="C471" s="8" t="s">
        <v>7</v>
      </c>
      <c r="D471" s="9">
        <v>2816</v>
      </c>
      <c r="E471" s="9">
        <v>9353</v>
      </c>
      <c r="F471" s="9">
        <f t="shared" si="22"/>
        <v>12169</v>
      </c>
      <c r="G471" s="14">
        <v>0.2414</v>
      </c>
      <c r="H471" s="53"/>
      <c r="I471" s="9">
        <v>9587</v>
      </c>
      <c r="J471" s="23">
        <v>0.188</v>
      </c>
      <c r="K471" s="53"/>
      <c r="L471" s="9">
        <v>20575</v>
      </c>
      <c r="M471" s="14">
        <v>0.2213</v>
      </c>
      <c r="N471" s="55"/>
    </row>
    <row r="472" spans="1:15" ht="17.5" thickTop="1" x14ac:dyDescent="0.45">
      <c r="A472" s="46" t="s">
        <v>269</v>
      </c>
      <c r="B472" s="56" t="s">
        <v>270</v>
      </c>
      <c r="C472" s="10" t="s">
        <v>6</v>
      </c>
      <c r="D472" s="11">
        <v>5673</v>
      </c>
      <c r="E472" s="11">
        <v>18673</v>
      </c>
      <c r="F472" s="11">
        <f t="shared" si="22"/>
        <v>24346</v>
      </c>
      <c r="G472" s="15">
        <f>F472/(F472+F473)</f>
        <v>0.50406840721339985</v>
      </c>
      <c r="H472" s="52">
        <f>G473-G472</f>
        <v>-8.1368144267996989E-3</v>
      </c>
      <c r="I472" s="11">
        <v>44569</v>
      </c>
      <c r="J472" s="24">
        <f>I472/(I472+I473)</f>
        <v>0.61966798287080804</v>
      </c>
      <c r="K472" s="52">
        <f>J473-J472</f>
        <v>-0.23933596574161614</v>
      </c>
      <c r="L472" s="11">
        <v>69210</v>
      </c>
      <c r="M472" s="15">
        <f>L472/(L472+L473)</f>
        <v>0.57307278297590458</v>
      </c>
      <c r="N472" s="54">
        <f>M473-M472</f>
        <v>-0.14614556595180922</v>
      </c>
    </row>
    <row r="473" spans="1:15" ht="17.5" thickBot="1" x14ac:dyDescent="0.5">
      <c r="A473" s="47"/>
      <c r="B473" s="57"/>
      <c r="C473" s="8" t="s">
        <v>7</v>
      </c>
      <c r="D473" s="9">
        <v>5965</v>
      </c>
      <c r="E473" s="9">
        <v>17988</v>
      </c>
      <c r="F473" s="9">
        <f t="shared" si="22"/>
        <v>23953</v>
      </c>
      <c r="G473" s="14">
        <f>F473/(F473+F472)</f>
        <v>0.49593159278660015</v>
      </c>
      <c r="H473" s="53"/>
      <c r="I473" s="9">
        <v>27355</v>
      </c>
      <c r="J473" s="23">
        <f>I473/(I473+I472)</f>
        <v>0.3803320171291919</v>
      </c>
      <c r="K473" s="53"/>
      <c r="L473" s="9">
        <v>51560</v>
      </c>
      <c r="M473" s="14">
        <f>L473/(L473+L472)</f>
        <v>0.42692721702409536</v>
      </c>
      <c r="N473" s="55"/>
    </row>
    <row r="474" spans="1:15" ht="17.5" thickTop="1" x14ac:dyDescent="0.45">
      <c r="A474" s="47"/>
      <c r="B474" s="50" t="s">
        <v>271</v>
      </c>
      <c r="C474" s="10" t="s">
        <v>6</v>
      </c>
      <c r="D474" s="11">
        <v>4949</v>
      </c>
      <c r="E474" s="11">
        <v>17829</v>
      </c>
      <c r="F474" s="11">
        <f t="shared" si="22"/>
        <v>22778</v>
      </c>
      <c r="G474" s="15">
        <v>0.38750000000000001</v>
      </c>
      <c r="H474" s="52">
        <f>G475-G474</f>
        <v>0.15329999999999994</v>
      </c>
      <c r="I474" s="11">
        <v>43474</v>
      </c>
      <c r="J474" s="24">
        <v>0.50480000000000003</v>
      </c>
      <c r="K474" s="52">
        <f>J475-J474</f>
        <v>-9.3900000000000039E-2</v>
      </c>
      <c r="L474" s="11">
        <v>66507</v>
      </c>
      <c r="M474" s="15">
        <v>0.45710000000000001</v>
      </c>
      <c r="N474" s="54">
        <f>M475-M474</f>
        <v>6.6999999999999837E-3</v>
      </c>
    </row>
    <row r="475" spans="1:15" ht="17.5" thickBot="1" x14ac:dyDescent="0.5">
      <c r="A475" s="47"/>
      <c r="B475" s="51"/>
      <c r="C475" s="8" t="s">
        <v>7</v>
      </c>
      <c r="D475" s="9">
        <v>6420</v>
      </c>
      <c r="E475" s="9">
        <v>25374</v>
      </c>
      <c r="F475" s="9">
        <f t="shared" si="22"/>
        <v>31794</v>
      </c>
      <c r="G475" s="14">
        <v>0.54079999999999995</v>
      </c>
      <c r="H475" s="53"/>
      <c r="I475" s="9">
        <v>35386</v>
      </c>
      <c r="J475" s="23">
        <v>0.41089999999999999</v>
      </c>
      <c r="K475" s="53"/>
      <c r="L475" s="9">
        <v>67489</v>
      </c>
      <c r="M475" s="14">
        <v>0.46379999999999999</v>
      </c>
      <c r="N475" s="55"/>
    </row>
    <row r="476" spans="1:15" ht="17.5" thickTop="1" x14ac:dyDescent="0.45">
      <c r="A476" s="47"/>
      <c r="B476" s="56" t="s">
        <v>272</v>
      </c>
      <c r="C476" s="10" t="s">
        <v>6</v>
      </c>
      <c r="D476" s="11">
        <v>4164</v>
      </c>
      <c r="E476" s="11">
        <v>23465</v>
      </c>
      <c r="F476" s="11">
        <f t="shared" si="22"/>
        <v>27629</v>
      </c>
      <c r="G476" s="15">
        <f>F476/(F476+F477)</f>
        <v>0.58415967186079454</v>
      </c>
      <c r="H476" s="52">
        <f>G477-G476</f>
        <v>-0.16831934372158908</v>
      </c>
      <c r="I476" s="11">
        <v>38393</v>
      </c>
      <c r="J476" s="24">
        <f>I476/(I476+I477)</f>
        <v>0.68978961174293463</v>
      </c>
      <c r="K476" s="52">
        <f>J477-J476</f>
        <v>-0.37957922348586931</v>
      </c>
      <c r="L476" s="11">
        <v>66283</v>
      </c>
      <c r="M476" s="15">
        <f>L476/(L476+L477)</f>
        <v>0.6404897186147186</v>
      </c>
      <c r="N476" s="54">
        <f>M477-M476</f>
        <v>-0.28097943722943719</v>
      </c>
    </row>
    <row r="477" spans="1:15" ht="17.5" thickBot="1" x14ac:dyDescent="0.5">
      <c r="A477" s="47"/>
      <c r="B477" s="57"/>
      <c r="C477" s="8" t="s">
        <v>7</v>
      </c>
      <c r="D477" s="9">
        <v>3912</v>
      </c>
      <c r="E477" s="9">
        <v>15756</v>
      </c>
      <c r="F477" s="9">
        <f t="shared" si="22"/>
        <v>19668</v>
      </c>
      <c r="G477" s="14">
        <f>F477/(F477+F476)</f>
        <v>0.41584032813920546</v>
      </c>
      <c r="H477" s="53"/>
      <c r="I477" s="9">
        <v>17266</v>
      </c>
      <c r="J477" s="23">
        <f>I477/(I477+I476)</f>
        <v>0.31021038825706532</v>
      </c>
      <c r="K477" s="53"/>
      <c r="L477" s="9">
        <v>37205</v>
      </c>
      <c r="M477" s="14">
        <f>L477/(L477+L476)</f>
        <v>0.3595102813852814</v>
      </c>
      <c r="N477" s="55"/>
    </row>
    <row r="478" spans="1:15" ht="17.5" thickTop="1" x14ac:dyDescent="0.45">
      <c r="A478" s="47"/>
      <c r="B478" s="56" t="s">
        <v>273</v>
      </c>
      <c r="C478" s="10" t="s">
        <v>6</v>
      </c>
      <c r="D478" s="11">
        <v>4362</v>
      </c>
      <c r="E478" s="11">
        <v>19751</v>
      </c>
      <c r="F478" s="11">
        <f t="shared" si="22"/>
        <v>24113</v>
      </c>
      <c r="G478" s="15">
        <f>F478/(F478+F479)</f>
        <v>0.552012270500435</v>
      </c>
      <c r="H478" s="52">
        <f>G479-G478</f>
        <v>-0.10402454100086994</v>
      </c>
      <c r="I478" s="11">
        <v>39435</v>
      </c>
      <c r="J478" s="24">
        <f>I478/(I478+I479)</f>
        <v>0.6301836137878134</v>
      </c>
      <c r="K478" s="52">
        <f>J479-J478</f>
        <v>-0.2603672275756268</v>
      </c>
      <c r="L478" s="11">
        <v>63778</v>
      </c>
      <c r="M478" s="15">
        <f>L478/(L478+L479)</f>
        <v>0.59772075499990629</v>
      </c>
      <c r="N478" s="54">
        <f>M479-M478</f>
        <v>-0.19544150999981258</v>
      </c>
    </row>
    <row r="479" spans="1:15" ht="17.5" thickBot="1" x14ac:dyDescent="0.5">
      <c r="A479" s="47"/>
      <c r="B479" s="57"/>
      <c r="C479" s="8" t="s">
        <v>7</v>
      </c>
      <c r="D479" s="9">
        <v>4692</v>
      </c>
      <c r="E479" s="9">
        <v>14877</v>
      </c>
      <c r="F479" s="9">
        <f t="shared" si="22"/>
        <v>19569</v>
      </c>
      <c r="G479" s="14">
        <f>F479/(F479+F478)</f>
        <v>0.44798772949956506</v>
      </c>
      <c r="H479" s="53"/>
      <c r="I479" s="9">
        <v>23142</v>
      </c>
      <c r="J479" s="23">
        <f>I479/(I479+I478)</f>
        <v>0.3698163862121866</v>
      </c>
      <c r="K479" s="53"/>
      <c r="L479" s="9">
        <v>42924</v>
      </c>
      <c r="M479" s="14">
        <f>L479/(L479+L478)</f>
        <v>0.40227924500009371</v>
      </c>
      <c r="N479" s="55"/>
    </row>
    <row r="480" spans="1:15" ht="17.5" thickTop="1" x14ac:dyDescent="0.45">
      <c r="A480" s="47"/>
      <c r="B480" s="56" t="s">
        <v>274</v>
      </c>
      <c r="C480" s="10" t="s">
        <v>6</v>
      </c>
      <c r="D480" s="11">
        <v>2869</v>
      </c>
      <c r="E480" s="11">
        <v>16678</v>
      </c>
      <c r="F480" s="11">
        <f t="shared" si="22"/>
        <v>19547</v>
      </c>
      <c r="G480" s="15">
        <f>F480/(F480+F481)</f>
        <v>0.44152059992771953</v>
      </c>
      <c r="H480" s="52">
        <f>G481-G480</f>
        <v>0.11695880014456095</v>
      </c>
      <c r="I480" s="11">
        <v>30997</v>
      </c>
      <c r="J480" s="24">
        <f>I480/(I480+I481)</f>
        <v>0.55405212168877127</v>
      </c>
      <c r="K480" s="52">
        <f>J481-J480</f>
        <v>-0.1081042433775426</v>
      </c>
      <c r="L480" s="11">
        <v>51100</v>
      </c>
      <c r="M480" s="15">
        <f>L480/(L480+L481)</f>
        <v>0.50244338908390118</v>
      </c>
      <c r="N480" s="54">
        <f>M481-M480</f>
        <v>-4.8867781678023636E-3</v>
      </c>
    </row>
    <row r="481" spans="1:14" ht="17.5" thickBot="1" x14ac:dyDescent="0.5">
      <c r="A481" s="47"/>
      <c r="B481" s="57"/>
      <c r="C481" s="8" t="s">
        <v>7</v>
      </c>
      <c r="D481" s="9">
        <v>4142</v>
      </c>
      <c r="E481" s="9">
        <v>20583</v>
      </c>
      <c r="F481" s="9">
        <f t="shared" si="22"/>
        <v>24725</v>
      </c>
      <c r="G481" s="14">
        <f>F481/(F481+F480)</f>
        <v>0.55847940007228047</v>
      </c>
      <c r="H481" s="53"/>
      <c r="I481" s="9">
        <v>24949</v>
      </c>
      <c r="J481" s="23">
        <f>I481/(I481+I480)</f>
        <v>0.44594787831122867</v>
      </c>
      <c r="K481" s="53"/>
      <c r="L481" s="9">
        <v>50603</v>
      </c>
      <c r="M481" s="14">
        <f>L481/(L481+L480)</f>
        <v>0.49755661091609882</v>
      </c>
      <c r="N481" s="55"/>
    </row>
    <row r="482" spans="1:14" ht="17.5" thickTop="1" x14ac:dyDescent="0.45">
      <c r="A482" s="47"/>
      <c r="B482" s="56" t="s">
        <v>275</v>
      </c>
      <c r="C482" s="10" t="s">
        <v>6</v>
      </c>
      <c r="D482" s="11">
        <v>6009</v>
      </c>
      <c r="E482" s="11">
        <v>22362</v>
      </c>
      <c r="F482" s="11">
        <f t="shared" si="22"/>
        <v>28371</v>
      </c>
      <c r="G482" s="15">
        <f>F482/(F482+F483)</f>
        <v>0.52522354073717537</v>
      </c>
      <c r="H482" s="52">
        <f>G483-G482</f>
        <v>-5.0447081474350675E-2</v>
      </c>
      <c r="I482" s="11">
        <v>37719</v>
      </c>
      <c r="J482" s="24">
        <f>I482/(I482+I483)</f>
        <v>0.63590997218241596</v>
      </c>
      <c r="K482" s="52">
        <f>J483-J482</f>
        <v>-0.27181994436483187</v>
      </c>
      <c r="L482" s="11">
        <v>66339</v>
      </c>
      <c r="M482" s="15">
        <f>L482/(L482+L483)</f>
        <v>0.58300011424654408</v>
      </c>
      <c r="N482" s="54">
        <f>M483-M482</f>
        <v>-0.1660002284930881</v>
      </c>
    </row>
    <row r="483" spans="1:14" ht="17.5" thickBot="1" x14ac:dyDescent="0.5">
      <c r="A483" s="47"/>
      <c r="B483" s="57"/>
      <c r="C483" s="8" t="s">
        <v>7</v>
      </c>
      <c r="D483" s="9">
        <v>6257</v>
      </c>
      <c r="E483" s="9">
        <v>19389</v>
      </c>
      <c r="F483" s="9">
        <f t="shared" si="22"/>
        <v>25646</v>
      </c>
      <c r="G483" s="14">
        <f>F483/(F483+F482)</f>
        <v>0.47477645926282469</v>
      </c>
      <c r="H483" s="53"/>
      <c r="I483" s="9">
        <v>21596</v>
      </c>
      <c r="J483" s="23">
        <f>I483/(I483+I482)</f>
        <v>0.36409002781758409</v>
      </c>
      <c r="K483" s="53"/>
      <c r="L483" s="9">
        <v>47450</v>
      </c>
      <c r="M483" s="14">
        <f>L483/(L483+L482)</f>
        <v>0.41699988575345598</v>
      </c>
      <c r="N483" s="55"/>
    </row>
    <row r="484" spans="1:14" ht="17.5" thickTop="1" x14ac:dyDescent="0.45">
      <c r="A484" s="47"/>
      <c r="B484" s="56" t="s">
        <v>276</v>
      </c>
      <c r="C484" s="10" t="s">
        <v>6</v>
      </c>
      <c r="D484" s="11">
        <v>3694</v>
      </c>
      <c r="E484" s="11">
        <v>16225</v>
      </c>
      <c r="F484" s="11">
        <f t="shared" si="22"/>
        <v>19919</v>
      </c>
      <c r="G484" s="15">
        <v>0.51990000000000003</v>
      </c>
      <c r="H484" s="52">
        <f>G485-G484</f>
        <v>-0.1658</v>
      </c>
      <c r="I484" s="11">
        <v>25489</v>
      </c>
      <c r="J484" s="24">
        <v>0.59930000000000005</v>
      </c>
      <c r="K484" s="52">
        <f>J485-J484</f>
        <v>-0.34500000000000003</v>
      </c>
      <c r="L484" s="11">
        <v>45590</v>
      </c>
      <c r="M484" s="15">
        <v>0.56140000000000001</v>
      </c>
      <c r="N484" s="54">
        <f>M485-M484</f>
        <v>-0.25919999999999999</v>
      </c>
    </row>
    <row r="485" spans="1:14" ht="17.5" thickBot="1" x14ac:dyDescent="0.5">
      <c r="A485" s="47"/>
      <c r="B485" s="57"/>
      <c r="C485" s="8" t="s">
        <v>7</v>
      </c>
      <c r="D485" s="9">
        <v>3375</v>
      </c>
      <c r="E485" s="9">
        <v>10191</v>
      </c>
      <c r="F485" s="9">
        <f t="shared" si="22"/>
        <v>13566</v>
      </c>
      <c r="G485" s="14">
        <v>0.35410000000000003</v>
      </c>
      <c r="H485" s="53"/>
      <c r="I485" s="9">
        <v>10815</v>
      </c>
      <c r="J485" s="23">
        <v>0.25430000000000003</v>
      </c>
      <c r="K485" s="53"/>
      <c r="L485" s="9">
        <v>24540</v>
      </c>
      <c r="M485" s="14">
        <v>0.30220000000000002</v>
      </c>
      <c r="N485" s="55"/>
    </row>
    <row r="486" spans="1:14" ht="17.5" thickTop="1" x14ac:dyDescent="0.45">
      <c r="A486" s="47"/>
      <c r="B486" s="56" t="s">
        <v>277</v>
      </c>
      <c r="C486" s="10" t="s">
        <v>6</v>
      </c>
      <c r="D486" s="11">
        <v>3716</v>
      </c>
      <c r="E486" s="11">
        <v>23063</v>
      </c>
      <c r="F486" s="11">
        <f t="shared" si="22"/>
        <v>26779</v>
      </c>
      <c r="G486" s="15">
        <f>F486/(F486+F487)</f>
        <v>0.55396040628038312</v>
      </c>
      <c r="H486" s="52">
        <f>G487-G486</f>
        <v>-0.10792081256076624</v>
      </c>
      <c r="I486" s="11">
        <v>34075</v>
      </c>
      <c r="J486" s="24">
        <f>I486/(I486+I487)</f>
        <v>0.67288704581358605</v>
      </c>
      <c r="K486" s="52">
        <f>J487-J486</f>
        <v>-0.34577409162717215</v>
      </c>
      <c r="L486" s="11">
        <v>61251</v>
      </c>
      <c r="M486" s="15">
        <f>L486/(L486+L487)</f>
        <v>0.61450714823175323</v>
      </c>
      <c r="N486" s="54">
        <f>M487-M486</f>
        <v>-0.22901429646350641</v>
      </c>
    </row>
    <row r="487" spans="1:14" ht="17.5" thickBot="1" x14ac:dyDescent="0.5">
      <c r="A487" s="47"/>
      <c r="B487" s="62"/>
      <c r="C487" s="8" t="s">
        <v>7</v>
      </c>
      <c r="D487" s="9">
        <v>3843</v>
      </c>
      <c r="E487" s="9">
        <v>17719</v>
      </c>
      <c r="F487" s="9">
        <f t="shared" si="22"/>
        <v>21562</v>
      </c>
      <c r="G487" s="14">
        <f>F487/(F487+F486)</f>
        <v>0.44603959371961688</v>
      </c>
      <c r="H487" s="53"/>
      <c r="I487" s="9">
        <v>16565</v>
      </c>
      <c r="J487" s="23">
        <f>I487/(I487+I486)</f>
        <v>0.3271129541864139</v>
      </c>
      <c r="K487" s="53"/>
      <c r="L487" s="9">
        <v>38424</v>
      </c>
      <c r="M487" s="14">
        <f>L487/(L487+L486)</f>
        <v>0.38549285176824682</v>
      </c>
      <c r="N487" s="55"/>
    </row>
    <row r="488" spans="1:14" ht="17.5" thickTop="1" x14ac:dyDescent="0.45">
      <c r="A488" s="49"/>
      <c r="B488" s="63" t="s">
        <v>278</v>
      </c>
      <c r="C488" s="43" t="s">
        <v>6</v>
      </c>
      <c r="D488" s="11">
        <v>4867</v>
      </c>
      <c r="E488" s="11">
        <v>29189</v>
      </c>
      <c r="F488" s="11">
        <f t="shared" si="22"/>
        <v>34056</v>
      </c>
      <c r="G488" s="15">
        <v>0.53</v>
      </c>
      <c r="H488" s="52">
        <f>G489-G488</f>
        <v>-0.16910000000000003</v>
      </c>
      <c r="I488" s="11">
        <v>30330</v>
      </c>
      <c r="J488" s="24">
        <v>0.58950000000000002</v>
      </c>
      <c r="K488" s="52">
        <f>J489-J488</f>
        <v>-0.31460000000000005</v>
      </c>
      <c r="L488" s="11">
        <v>64750</v>
      </c>
      <c r="M488" s="15">
        <v>0.55589999999999995</v>
      </c>
      <c r="N488" s="54">
        <f>M489-M488</f>
        <v>-0.23249999999999993</v>
      </c>
    </row>
    <row r="489" spans="1:14" ht="17.5" thickBot="1" x14ac:dyDescent="0.5">
      <c r="A489" s="49"/>
      <c r="B489" s="64"/>
      <c r="C489" s="44" t="s">
        <v>7</v>
      </c>
      <c r="D489" s="9">
        <v>4403</v>
      </c>
      <c r="E489" s="9">
        <v>18787</v>
      </c>
      <c r="F489" s="9">
        <f t="shared" si="22"/>
        <v>23190</v>
      </c>
      <c r="G489" s="14">
        <v>0.3609</v>
      </c>
      <c r="H489" s="53"/>
      <c r="I489" s="9">
        <v>14144</v>
      </c>
      <c r="J489" s="23">
        <v>0.27489999999999998</v>
      </c>
      <c r="K489" s="53"/>
      <c r="L489" s="9">
        <v>37664</v>
      </c>
      <c r="M489" s="14">
        <v>0.32340000000000002</v>
      </c>
      <c r="N489" s="55"/>
    </row>
    <row r="490" spans="1:14" ht="17.5" thickTop="1" x14ac:dyDescent="0.45">
      <c r="A490" s="47"/>
      <c r="B490" s="50" t="s">
        <v>279</v>
      </c>
      <c r="C490" s="39" t="s">
        <v>6</v>
      </c>
      <c r="D490" s="40">
        <v>4999</v>
      </c>
      <c r="E490" s="40">
        <v>21130</v>
      </c>
      <c r="F490" s="40">
        <f t="shared" si="22"/>
        <v>26129</v>
      </c>
      <c r="G490" s="41">
        <f>F490/(F490+F491)</f>
        <v>0.41980366639353484</v>
      </c>
      <c r="H490" s="60">
        <f>G491-G490</f>
        <v>0.16039266721293033</v>
      </c>
      <c r="I490" s="40">
        <v>40533</v>
      </c>
      <c r="J490" s="41">
        <f>I490/(I490+I491)</f>
        <v>0.52016066937015548</v>
      </c>
      <c r="K490" s="60">
        <f>J491-J490</f>
        <v>-4.0321338740311019E-2</v>
      </c>
      <c r="L490" s="40">
        <v>66921</v>
      </c>
      <c r="M490" s="41">
        <f>L490/(L490+L491)</f>
        <v>0.47521694053485963</v>
      </c>
      <c r="N490" s="60">
        <f>M491-M490</f>
        <v>4.9566118930280734E-2</v>
      </c>
    </row>
    <row r="491" spans="1:14" ht="17.5" thickBot="1" x14ac:dyDescent="0.5">
      <c r="A491" s="47"/>
      <c r="B491" s="51"/>
      <c r="C491" s="42" t="s">
        <v>7</v>
      </c>
      <c r="D491" s="37">
        <v>7269</v>
      </c>
      <c r="E491" s="37">
        <v>28843</v>
      </c>
      <c r="F491" s="37">
        <f t="shared" si="22"/>
        <v>36112</v>
      </c>
      <c r="G491" s="38">
        <f>F491/(F491+F490)</f>
        <v>0.58019633360646516</v>
      </c>
      <c r="H491" s="61"/>
      <c r="I491" s="37">
        <v>37391</v>
      </c>
      <c r="J491" s="38">
        <f>I491/(I491+I490)</f>
        <v>0.47983933062984446</v>
      </c>
      <c r="K491" s="61"/>
      <c r="L491" s="37">
        <v>73901</v>
      </c>
      <c r="M491" s="38">
        <f>L491/(L491+L490)</f>
        <v>0.52478305946514037</v>
      </c>
      <c r="N491" s="61"/>
    </row>
    <row r="492" spans="1:14" ht="17.5" thickTop="1" x14ac:dyDescent="0.45">
      <c r="A492" s="47"/>
      <c r="B492" s="50" t="s">
        <v>280</v>
      </c>
      <c r="C492" s="10" t="s">
        <v>6</v>
      </c>
      <c r="D492" s="11">
        <v>5277</v>
      </c>
      <c r="E492" s="11">
        <v>18008</v>
      </c>
      <c r="F492" s="11">
        <f t="shared" si="22"/>
        <v>23285</v>
      </c>
      <c r="G492" s="15">
        <f>F492/(F492+F493)</f>
        <v>0.37693241602590044</v>
      </c>
      <c r="H492" s="52">
        <f>G493-G492</f>
        <v>0.24613516794819912</v>
      </c>
      <c r="I492" s="11">
        <v>39393</v>
      </c>
      <c r="J492" s="24">
        <f>I492/(I492+I493)</f>
        <v>0.48508170276693469</v>
      </c>
      <c r="K492" s="52">
        <f>J493-J492</f>
        <v>2.9836594466130573E-2</v>
      </c>
      <c r="L492" s="11">
        <v>62904</v>
      </c>
      <c r="M492" s="15">
        <f>L492/(L492+L493)</f>
        <v>0.43805318978544416</v>
      </c>
      <c r="N492" s="54">
        <f>M493-M492</f>
        <v>0.12389362042911167</v>
      </c>
    </row>
    <row r="493" spans="1:14" ht="17.5" thickBot="1" x14ac:dyDescent="0.5">
      <c r="A493" s="47"/>
      <c r="B493" s="51"/>
      <c r="C493" s="8" t="s">
        <v>7</v>
      </c>
      <c r="D493" s="9">
        <v>8152</v>
      </c>
      <c r="E493" s="9">
        <v>30338</v>
      </c>
      <c r="F493" s="9">
        <f t="shared" si="22"/>
        <v>38490</v>
      </c>
      <c r="G493" s="14">
        <f>F493/(F493+F492)</f>
        <v>0.62306758397409956</v>
      </c>
      <c r="H493" s="53"/>
      <c r="I493" s="9">
        <v>41816</v>
      </c>
      <c r="J493" s="23">
        <f>I493/(I493+I492)</f>
        <v>0.51491829723306526</v>
      </c>
      <c r="K493" s="53"/>
      <c r="L493" s="9">
        <v>80695</v>
      </c>
      <c r="M493" s="14">
        <f>L493/(L493+L492)</f>
        <v>0.56194681021455584</v>
      </c>
      <c r="N493" s="55"/>
    </row>
    <row r="494" spans="1:14" ht="17.5" thickTop="1" x14ac:dyDescent="0.45">
      <c r="A494" s="47"/>
      <c r="B494" s="56" t="s">
        <v>281</v>
      </c>
      <c r="C494" s="10" t="s">
        <v>6</v>
      </c>
      <c r="D494" s="11">
        <v>7650</v>
      </c>
      <c r="E494" s="11">
        <v>36252</v>
      </c>
      <c r="F494" s="11">
        <f t="shared" si="22"/>
        <v>43902</v>
      </c>
      <c r="G494" s="15">
        <f>F494/(F494+F495)</f>
        <v>0.62006722973927286</v>
      </c>
      <c r="H494" s="52">
        <f>G495-G494</f>
        <v>-0.24013445947854578</v>
      </c>
      <c r="I494" s="11">
        <v>52115</v>
      </c>
      <c r="J494" s="24">
        <f>I494/(I494+I495)</f>
        <v>0.71695854943664106</v>
      </c>
      <c r="K494" s="52">
        <f>J495-J494</f>
        <v>-0.43391709887328211</v>
      </c>
      <c r="L494" s="11">
        <v>90296</v>
      </c>
      <c r="M494" s="15">
        <f>L494/(L494+L495)</f>
        <v>0.62592107360963811</v>
      </c>
      <c r="N494" s="54">
        <f>M495-M494</f>
        <v>-0.25184214721927622</v>
      </c>
    </row>
    <row r="495" spans="1:14" ht="17.5" thickBot="1" x14ac:dyDescent="0.5">
      <c r="A495" s="47"/>
      <c r="B495" s="57"/>
      <c r="C495" s="8" t="s">
        <v>7</v>
      </c>
      <c r="D495" s="9">
        <v>5651</v>
      </c>
      <c r="E495" s="9">
        <v>21249</v>
      </c>
      <c r="F495" s="9">
        <f t="shared" si="22"/>
        <v>26900</v>
      </c>
      <c r="G495" s="14">
        <f>F495/(F495+F494)</f>
        <v>0.37993277026072708</v>
      </c>
      <c r="H495" s="53"/>
      <c r="I495" s="9">
        <v>20574</v>
      </c>
      <c r="J495" s="23">
        <f>I495/(I495+I494)</f>
        <v>0.28304145056335894</v>
      </c>
      <c r="K495" s="53"/>
      <c r="L495" s="9">
        <v>53965</v>
      </c>
      <c r="M495" s="14">
        <f>L495/(L495+L494)</f>
        <v>0.37407892639036189</v>
      </c>
      <c r="N495" s="55"/>
    </row>
    <row r="496" spans="1:14" ht="17.5" thickTop="1" x14ac:dyDescent="0.45">
      <c r="A496" s="47"/>
      <c r="B496" s="58" t="s">
        <v>282</v>
      </c>
      <c r="C496" s="10" t="s">
        <v>6</v>
      </c>
      <c r="D496" s="11">
        <v>3958</v>
      </c>
      <c r="E496" s="11">
        <v>25270</v>
      </c>
      <c r="F496" s="11">
        <f t="shared" si="22"/>
        <v>29228</v>
      </c>
      <c r="G496" s="15">
        <v>0.46229999999999999</v>
      </c>
      <c r="H496" s="52">
        <f>G497-G496</f>
        <v>5.4700000000000026E-2</v>
      </c>
      <c r="I496" s="11">
        <v>36055</v>
      </c>
      <c r="J496" s="24">
        <v>0.56230000000000002</v>
      </c>
      <c r="K496" s="52">
        <f>J497-J496</f>
        <v>-0.14500000000000002</v>
      </c>
      <c r="L496" s="11">
        <v>65590</v>
      </c>
      <c r="M496" s="15">
        <v>0.51229999999999998</v>
      </c>
      <c r="N496" s="54">
        <f>M497-M496</f>
        <v>-4.5499999999999985E-2</v>
      </c>
    </row>
    <row r="497" spans="1:14" ht="17.5" thickBot="1" x14ac:dyDescent="0.5">
      <c r="A497" s="47"/>
      <c r="B497" s="59"/>
      <c r="C497" s="8" t="s">
        <v>7</v>
      </c>
      <c r="D497" s="9">
        <v>4884</v>
      </c>
      <c r="E497" s="9">
        <v>27804</v>
      </c>
      <c r="F497" s="9">
        <f t="shared" si="22"/>
        <v>32688</v>
      </c>
      <c r="G497" s="14">
        <v>0.51700000000000002</v>
      </c>
      <c r="H497" s="53"/>
      <c r="I497" s="9">
        <v>26755</v>
      </c>
      <c r="J497" s="23">
        <v>0.4173</v>
      </c>
      <c r="K497" s="53"/>
      <c r="L497" s="9">
        <v>59753</v>
      </c>
      <c r="M497" s="14">
        <v>0.46679999999999999</v>
      </c>
      <c r="N497" s="55"/>
    </row>
    <row r="498" spans="1:14" ht="17.5" thickTop="1" x14ac:dyDescent="0.45">
      <c r="A498" s="47"/>
      <c r="B498" s="58" t="s">
        <v>283</v>
      </c>
      <c r="C498" s="10" t="s">
        <v>6</v>
      </c>
      <c r="D498" s="11">
        <v>4182</v>
      </c>
      <c r="E498" s="11">
        <v>14309</v>
      </c>
      <c r="F498" s="11">
        <f t="shared" si="22"/>
        <v>18491</v>
      </c>
      <c r="G498" s="15">
        <v>0.48520000000000002</v>
      </c>
      <c r="H498" s="52">
        <f>G499-G498</f>
        <v>1.4600000000000002E-2</v>
      </c>
      <c r="I498" s="11">
        <v>34798</v>
      </c>
      <c r="J498" s="24">
        <v>0.56789999999999996</v>
      </c>
      <c r="K498" s="52">
        <f>J499-J498</f>
        <v>-0.15239999999999998</v>
      </c>
      <c r="L498" s="11">
        <v>53560</v>
      </c>
      <c r="M498" s="15">
        <v>0.53620000000000001</v>
      </c>
      <c r="N498" s="54">
        <f>M499-M498</f>
        <v>-8.8400000000000034E-2</v>
      </c>
    </row>
    <row r="499" spans="1:14" ht="17.5" thickBot="1" x14ac:dyDescent="0.5">
      <c r="A499" s="47"/>
      <c r="B499" s="59"/>
      <c r="C499" s="8" t="s">
        <v>7</v>
      </c>
      <c r="D499" s="9">
        <v>4928</v>
      </c>
      <c r="E499" s="9">
        <v>14120</v>
      </c>
      <c r="F499" s="9">
        <f t="shared" si="22"/>
        <v>19048</v>
      </c>
      <c r="G499" s="14">
        <v>0.49980000000000002</v>
      </c>
      <c r="H499" s="53"/>
      <c r="I499" s="9">
        <v>25461</v>
      </c>
      <c r="J499" s="23">
        <v>0.41549999999999998</v>
      </c>
      <c r="K499" s="53"/>
      <c r="L499" s="9">
        <v>44735</v>
      </c>
      <c r="M499" s="14">
        <v>0.44779999999999998</v>
      </c>
      <c r="N499" s="55"/>
    </row>
    <row r="500" spans="1:14" ht="17.5" thickTop="1" x14ac:dyDescent="0.45">
      <c r="A500" s="47"/>
      <c r="B500" s="58" t="s">
        <v>284</v>
      </c>
      <c r="C500" s="10" t="s">
        <v>6</v>
      </c>
      <c r="D500" s="11">
        <v>3791</v>
      </c>
      <c r="E500" s="11">
        <v>14761</v>
      </c>
      <c r="F500" s="11">
        <f t="shared" si="22"/>
        <v>18552</v>
      </c>
      <c r="G500" s="15">
        <f>F500/(F500+F501)</f>
        <v>0.44430607112920606</v>
      </c>
      <c r="H500" s="52">
        <f>G501-G500</f>
        <v>0.11138785774158788</v>
      </c>
      <c r="I500" s="11">
        <v>31916</v>
      </c>
      <c r="J500" s="24">
        <f>I500/(I500+I501)</f>
        <v>0.5596156543694768</v>
      </c>
      <c r="K500" s="52">
        <f>J501-J500</f>
        <v>-0.1192313087389536</v>
      </c>
      <c r="L500" s="11">
        <v>50685</v>
      </c>
      <c r="M500" s="15">
        <f>L500/(L500+L501)</f>
        <v>0.51050007554011179</v>
      </c>
      <c r="N500" s="54">
        <f>M501-M500</f>
        <v>-2.1000151080223572E-2</v>
      </c>
    </row>
    <row r="501" spans="1:14" ht="17.5" thickBot="1" x14ac:dyDescent="0.5">
      <c r="A501" s="47"/>
      <c r="B501" s="59"/>
      <c r="C501" s="8" t="s">
        <v>7</v>
      </c>
      <c r="D501" s="9">
        <v>5026</v>
      </c>
      <c r="E501" s="9">
        <v>18177</v>
      </c>
      <c r="F501" s="9">
        <f t="shared" si="22"/>
        <v>23203</v>
      </c>
      <c r="G501" s="14">
        <f>F501/(F501+F500)</f>
        <v>0.55569392887079394</v>
      </c>
      <c r="H501" s="53"/>
      <c r="I501" s="9">
        <v>25116</v>
      </c>
      <c r="J501" s="23">
        <f>I501/(I501+I500)</f>
        <v>0.4403843456305232</v>
      </c>
      <c r="K501" s="53"/>
      <c r="L501" s="9">
        <v>48600</v>
      </c>
      <c r="M501" s="14">
        <f>L501/(L501+L500)</f>
        <v>0.48949992445988821</v>
      </c>
      <c r="N501" s="55"/>
    </row>
    <row r="502" spans="1:14" ht="17.5" thickTop="1" x14ac:dyDescent="0.45">
      <c r="A502" s="47"/>
      <c r="B502" s="56" t="s">
        <v>285</v>
      </c>
      <c r="C502" s="10" t="s">
        <v>6</v>
      </c>
      <c r="D502" s="11">
        <v>5824</v>
      </c>
      <c r="E502" s="11">
        <v>33689</v>
      </c>
      <c r="F502" s="11">
        <f t="shared" si="22"/>
        <v>39513</v>
      </c>
      <c r="G502" s="15">
        <f>F502/(F502+F503)</f>
        <v>0.67287093643035945</v>
      </c>
      <c r="H502" s="52">
        <f>G503-G502</f>
        <v>-0.34574187286071895</v>
      </c>
      <c r="I502" s="11">
        <v>35670</v>
      </c>
      <c r="J502" s="24">
        <f>I502/(I502+I503)</f>
        <v>0.75833917979462973</v>
      </c>
      <c r="K502" s="52">
        <f>J503-J502</f>
        <v>-0.51667835958925945</v>
      </c>
      <c r="L502" s="11">
        <v>60387</v>
      </c>
      <c r="M502" s="15">
        <f>L502/(L502+L503)</f>
        <v>0.56961882033335531</v>
      </c>
      <c r="N502" s="54">
        <f>M503-M502</f>
        <v>-0.13923764066671068</v>
      </c>
    </row>
    <row r="503" spans="1:14" ht="17.5" thickBot="1" x14ac:dyDescent="0.5">
      <c r="A503" s="48"/>
      <c r="B503" s="57"/>
      <c r="C503" s="8" t="s">
        <v>7</v>
      </c>
      <c r="D503" s="9">
        <v>4083</v>
      </c>
      <c r="E503" s="9">
        <v>15127</v>
      </c>
      <c r="F503" s="9">
        <f t="shared" si="22"/>
        <v>19210</v>
      </c>
      <c r="G503" s="14">
        <f>F503/(F503+F502)</f>
        <v>0.3271290635696405</v>
      </c>
      <c r="H503" s="53"/>
      <c r="I503" s="9">
        <v>11367</v>
      </c>
      <c r="J503" s="23">
        <f>I503/(I503+I502)</f>
        <v>0.24166082020537025</v>
      </c>
      <c r="K503" s="53"/>
      <c r="L503" s="9">
        <v>45626</v>
      </c>
      <c r="M503" s="14">
        <f>L503/(L503+L502)</f>
        <v>0.43038117966664463</v>
      </c>
      <c r="N503" s="55"/>
    </row>
    <row r="504" spans="1:14" ht="17.5" thickTop="1" x14ac:dyDescent="0.45">
      <c r="A504" s="46" t="s">
        <v>286</v>
      </c>
      <c r="B504" s="50" t="s">
        <v>287</v>
      </c>
      <c r="C504" s="10" t="s">
        <v>6</v>
      </c>
      <c r="D504" s="11">
        <v>4189</v>
      </c>
      <c r="E504" s="11">
        <v>13500</v>
      </c>
      <c r="F504" s="11">
        <f t="shared" si="22"/>
        <v>17689</v>
      </c>
      <c r="G504" s="15">
        <f>F504/(F504+F505)</f>
        <v>0.32132606721162582</v>
      </c>
      <c r="H504" s="52">
        <f>G505-G504</f>
        <v>0.35734786557674836</v>
      </c>
      <c r="I504" s="11">
        <v>28631</v>
      </c>
      <c r="J504" s="24">
        <f>I504/(I504+I505)</f>
        <v>0.41163700146648646</v>
      </c>
      <c r="K504" s="52">
        <f>J505-J504</f>
        <v>0.17672599706702702</v>
      </c>
      <c r="L504" s="11">
        <v>46503</v>
      </c>
      <c r="M504" s="15">
        <f>L504/(L504+L505)</f>
        <v>0.37119549166260907</v>
      </c>
      <c r="N504" s="54">
        <f>M505-M504</f>
        <v>0.25760901667478192</v>
      </c>
    </row>
    <row r="505" spans="1:14" ht="17.5" thickBot="1" x14ac:dyDescent="0.5">
      <c r="A505" s="47"/>
      <c r="B505" s="51"/>
      <c r="C505" s="8" t="s">
        <v>7</v>
      </c>
      <c r="D505" s="9">
        <v>8931</v>
      </c>
      <c r="E505" s="9">
        <v>28430</v>
      </c>
      <c r="F505" s="9">
        <f t="shared" si="22"/>
        <v>37361</v>
      </c>
      <c r="G505" s="14">
        <f>F505/(F505+F504)</f>
        <v>0.67867393278837418</v>
      </c>
      <c r="H505" s="53"/>
      <c r="I505" s="9">
        <v>40923</v>
      </c>
      <c r="J505" s="23">
        <f>I505/(I505+I504)</f>
        <v>0.58836299853351348</v>
      </c>
      <c r="K505" s="53"/>
      <c r="L505" s="9">
        <v>78776</v>
      </c>
      <c r="M505" s="14">
        <f>L505/(L505+L504)</f>
        <v>0.62880450833739099</v>
      </c>
      <c r="N505" s="55"/>
    </row>
    <row r="506" spans="1:14" ht="17.5" thickTop="1" x14ac:dyDescent="0.45">
      <c r="A506" s="47"/>
      <c r="B506" s="50" t="s">
        <v>288</v>
      </c>
      <c r="C506" s="10" t="s">
        <v>6</v>
      </c>
      <c r="D506" s="11">
        <v>3400</v>
      </c>
      <c r="E506" s="11">
        <v>11832</v>
      </c>
      <c r="F506" s="11">
        <f t="shared" si="22"/>
        <v>15232</v>
      </c>
      <c r="G506" s="15">
        <v>0.27429999999999999</v>
      </c>
      <c r="H506" s="52">
        <f>G507-G506</f>
        <v>0.41890000000000005</v>
      </c>
      <c r="I506" s="11">
        <v>23558</v>
      </c>
      <c r="J506" s="24">
        <v>0.35859999999999997</v>
      </c>
      <c r="K506" s="52">
        <f>J507-J506</f>
        <v>0.24800000000000005</v>
      </c>
      <c r="L506" s="11">
        <v>38948</v>
      </c>
      <c r="M506" s="15">
        <v>0.3196</v>
      </c>
      <c r="N506" s="54">
        <f>M507-M506</f>
        <v>0.32679999999999998</v>
      </c>
    </row>
    <row r="507" spans="1:14" ht="17.5" thickBot="1" x14ac:dyDescent="0.5">
      <c r="A507" s="47"/>
      <c r="B507" s="51"/>
      <c r="C507" s="8" t="s">
        <v>7</v>
      </c>
      <c r="D507" s="9">
        <v>9592</v>
      </c>
      <c r="E507" s="9">
        <v>28899</v>
      </c>
      <c r="F507" s="9">
        <f t="shared" si="22"/>
        <v>38491</v>
      </c>
      <c r="G507" s="14">
        <v>0.69320000000000004</v>
      </c>
      <c r="H507" s="53"/>
      <c r="I507" s="9">
        <v>39856</v>
      </c>
      <c r="J507" s="23">
        <v>0.60660000000000003</v>
      </c>
      <c r="K507" s="53"/>
      <c r="L507" s="9">
        <v>78774</v>
      </c>
      <c r="M507" s="14">
        <v>0.64639999999999997</v>
      </c>
      <c r="N507" s="55"/>
    </row>
    <row r="508" spans="1:14" ht="17.5" thickTop="1" x14ac:dyDescent="0.45">
      <c r="A508" s="47"/>
      <c r="B508" s="50" t="s">
        <v>289</v>
      </c>
      <c r="C508" s="10" t="s">
        <v>6</v>
      </c>
      <c r="D508" s="11">
        <v>4008</v>
      </c>
      <c r="E508" s="11">
        <v>15778</v>
      </c>
      <c r="F508" s="11">
        <f>+E509</f>
        <v>23305</v>
      </c>
      <c r="G508" s="15">
        <f>F508/(F508+F509)</f>
        <v>0.44368503217454214</v>
      </c>
      <c r="H508" s="52">
        <f>G509-G508</f>
        <v>0.11262993565091572</v>
      </c>
      <c r="I508" s="11">
        <v>25869</v>
      </c>
      <c r="J508" s="24">
        <f>I508/(I508+I509)</f>
        <v>0.51583250249252244</v>
      </c>
      <c r="K508" s="52">
        <f>J509-J508</f>
        <v>-3.1665004985044876E-2</v>
      </c>
      <c r="L508" s="11">
        <v>45841</v>
      </c>
      <c r="M508" s="15">
        <f>L508/(L508+L509)</f>
        <v>0.45991853278754313</v>
      </c>
      <c r="N508" s="54">
        <f>M509-M508</f>
        <v>8.0162934424913734E-2</v>
      </c>
    </row>
    <row r="509" spans="1:14" ht="17.5" thickBot="1" x14ac:dyDescent="0.5">
      <c r="A509" s="48"/>
      <c r="B509" s="51"/>
      <c r="C509" s="8" t="s">
        <v>7</v>
      </c>
      <c r="D509" s="9">
        <v>5916</v>
      </c>
      <c r="E509" s="9">
        <v>23305</v>
      </c>
      <c r="F509" s="9">
        <f t="shared" si="22"/>
        <v>29221</v>
      </c>
      <c r="G509" s="14">
        <f>F509/(F509+F508)</f>
        <v>0.55631496782545786</v>
      </c>
      <c r="H509" s="53"/>
      <c r="I509" s="9">
        <v>24281</v>
      </c>
      <c r="J509" s="23">
        <f>I509/(I509+I508)</f>
        <v>0.48416749750747756</v>
      </c>
      <c r="K509" s="53"/>
      <c r="L509" s="9">
        <v>53831</v>
      </c>
      <c r="M509" s="14">
        <f>L509/(L509+L508)</f>
        <v>0.54008146721245687</v>
      </c>
      <c r="N509" s="55"/>
    </row>
    <row r="510" spans="1:14" ht="17.5" thickTop="1" x14ac:dyDescent="0.45"/>
    <row r="511" spans="1:14" x14ac:dyDescent="0.45">
      <c r="H511" s="17"/>
    </row>
  </sheetData>
  <mergeCells count="1039">
    <mergeCell ref="N22:N23"/>
    <mergeCell ref="U5:AA16"/>
    <mergeCell ref="K10:K11"/>
    <mergeCell ref="K12:K13"/>
    <mergeCell ref="H14:H15"/>
    <mergeCell ref="H16:H17"/>
    <mergeCell ref="H18:H19"/>
    <mergeCell ref="H20:H21"/>
    <mergeCell ref="N16:N17"/>
    <mergeCell ref="N18:N19"/>
    <mergeCell ref="N20:N21"/>
    <mergeCell ref="A186:A201"/>
    <mergeCell ref="A202:A215"/>
    <mergeCell ref="A216:A227"/>
    <mergeCell ref="U17:AA19"/>
    <mergeCell ref="U20:AA20"/>
    <mergeCell ref="H4:H5"/>
    <mergeCell ref="H6:H7"/>
    <mergeCell ref="H8:H9"/>
    <mergeCell ref="H10:H11"/>
    <mergeCell ref="H12:H13"/>
    <mergeCell ref="H98:H99"/>
    <mergeCell ref="N26:N27"/>
    <mergeCell ref="N28:N29"/>
    <mergeCell ref="N24:N25"/>
    <mergeCell ref="N36:N37"/>
    <mergeCell ref="N30:N31"/>
    <mergeCell ref="N32:N33"/>
    <mergeCell ref="K50:K51"/>
    <mergeCell ref="N50:N51"/>
    <mergeCell ref="B52:B53"/>
    <mergeCell ref="H52:H53"/>
    <mergeCell ref="K2:K3"/>
    <mergeCell ref="K4:K5"/>
    <mergeCell ref="K6:K7"/>
    <mergeCell ref="K8:K9"/>
    <mergeCell ref="B98:B99"/>
    <mergeCell ref="B2:B3"/>
    <mergeCell ref="B4:B5"/>
    <mergeCell ref="B10:B11"/>
    <mergeCell ref="B12:B13"/>
    <mergeCell ref="B14:B15"/>
    <mergeCell ref="B16:B17"/>
    <mergeCell ref="B18:B19"/>
    <mergeCell ref="B20:B21"/>
    <mergeCell ref="B22:B23"/>
    <mergeCell ref="B26:B27"/>
    <mergeCell ref="H22:H23"/>
    <mergeCell ref="K22:K23"/>
    <mergeCell ref="H26:H27"/>
    <mergeCell ref="K26:K27"/>
    <mergeCell ref="B28:B29"/>
    <mergeCell ref="H28:H29"/>
    <mergeCell ref="K28:K29"/>
    <mergeCell ref="B24:B25"/>
    <mergeCell ref="H24:H25"/>
    <mergeCell ref="K24:K25"/>
    <mergeCell ref="K98:K99"/>
    <mergeCell ref="K36:K37"/>
    <mergeCell ref="B32:B33"/>
    <mergeCell ref="H32:H33"/>
    <mergeCell ref="K32:K33"/>
    <mergeCell ref="B50:B51"/>
    <mergeCell ref="H50:H51"/>
    <mergeCell ref="N2:N3"/>
    <mergeCell ref="N4:N5"/>
    <mergeCell ref="N6:N7"/>
    <mergeCell ref="N8:N9"/>
    <mergeCell ref="N10:N11"/>
    <mergeCell ref="N12:N13"/>
    <mergeCell ref="N98:N99"/>
    <mergeCell ref="K14:K15"/>
    <mergeCell ref="K16:K17"/>
    <mergeCell ref="K18:K19"/>
    <mergeCell ref="K20:K21"/>
    <mergeCell ref="N14:N15"/>
    <mergeCell ref="B30:B31"/>
    <mergeCell ref="B34:B35"/>
    <mergeCell ref="B38:B39"/>
    <mergeCell ref="B6:B7"/>
    <mergeCell ref="B8:B9"/>
    <mergeCell ref="H30:H31"/>
    <mergeCell ref="K30:K31"/>
    <mergeCell ref="H2:H3"/>
    <mergeCell ref="H38:H39"/>
    <mergeCell ref="K38:K39"/>
    <mergeCell ref="N38:N39"/>
    <mergeCell ref="B40:B41"/>
    <mergeCell ref="H40:H41"/>
    <mergeCell ref="K40:K41"/>
    <mergeCell ref="N40:N41"/>
    <mergeCell ref="H34:H35"/>
    <mergeCell ref="K34:K35"/>
    <mergeCell ref="N34:N35"/>
    <mergeCell ref="B36:B37"/>
    <mergeCell ref="H36:H37"/>
    <mergeCell ref="K52:K53"/>
    <mergeCell ref="N52:N53"/>
    <mergeCell ref="B46:B47"/>
    <mergeCell ref="H46:H47"/>
    <mergeCell ref="K46:K47"/>
    <mergeCell ref="N46:N47"/>
    <mergeCell ref="B48:B49"/>
    <mergeCell ref="H48:H49"/>
    <mergeCell ref="K48:K49"/>
    <mergeCell ref="N48:N49"/>
    <mergeCell ref="B42:B43"/>
    <mergeCell ref="H42:H43"/>
    <mergeCell ref="K42:K43"/>
    <mergeCell ref="N42:N43"/>
    <mergeCell ref="B44:B45"/>
    <mergeCell ref="H44:H45"/>
    <mergeCell ref="K44:K45"/>
    <mergeCell ref="N44:N45"/>
    <mergeCell ref="B64:B65"/>
    <mergeCell ref="H64:H65"/>
    <mergeCell ref="K64:K65"/>
    <mergeCell ref="N64:N65"/>
    <mergeCell ref="B66:B67"/>
    <mergeCell ref="H66:H67"/>
    <mergeCell ref="K66:K67"/>
    <mergeCell ref="N66:N67"/>
    <mergeCell ref="B60:B61"/>
    <mergeCell ref="H60:H61"/>
    <mergeCell ref="K60:K61"/>
    <mergeCell ref="N60:N61"/>
    <mergeCell ref="B62:B63"/>
    <mergeCell ref="H62:H63"/>
    <mergeCell ref="K62:K63"/>
    <mergeCell ref="N62:N63"/>
    <mergeCell ref="B54:B55"/>
    <mergeCell ref="H54:H55"/>
    <mergeCell ref="K54:K55"/>
    <mergeCell ref="N54:N55"/>
    <mergeCell ref="B56:B57"/>
    <mergeCell ref="H56:H57"/>
    <mergeCell ref="K56:K57"/>
    <mergeCell ref="N56:N57"/>
    <mergeCell ref="B76:B77"/>
    <mergeCell ref="H76:H77"/>
    <mergeCell ref="K76:K77"/>
    <mergeCell ref="N76:N77"/>
    <mergeCell ref="B78:B79"/>
    <mergeCell ref="H78:H79"/>
    <mergeCell ref="K78:K79"/>
    <mergeCell ref="N78:N79"/>
    <mergeCell ref="B72:B73"/>
    <mergeCell ref="H72:H73"/>
    <mergeCell ref="K72:K73"/>
    <mergeCell ref="N72:N73"/>
    <mergeCell ref="B74:B75"/>
    <mergeCell ref="H74:H75"/>
    <mergeCell ref="K74:K75"/>
    <mergeCell ref="N74:N75"/>
    <mergeCell ref="B68:B69"/>
    <mergeCell ref="H68:H69"/>
    <mergeCell ref="K68:K69"/>
    <mergeCell ref="N68:N69"/>
    <mergeCell ref="B70:B71"/>
    <mergeCell ref="H70:H71"/>
    <mergeCell ref="K70:K71"/>
    <mergeCell ref="N70:N71"/>
    <mergeCell ref="N88:N89"/>
    <mergeCell ref="B90:B91"/>
    <mergeCell ref="H90:H91"/>
    <mergeCell ref="K90:K91"/>
    <mergeCell ref="N90:N91"/>
    <mergeCell ref="B84:B85"/>
    <mergeCell ref="H84:H85"/>
    <mergeCell ref="K84:K85"/>
    <mergeCell ref="N84:N85"/>
    <mergeCell ref="B86:B87"/>
    <mergeCell ref="H86:H87"/>
    <mergeCell ref="K86:K87"/>
    <mergeCell ref="N86:N87"/>
    <mergeCell ref="B80:B81"/>
    <mergeCell ref="H80:H81"/>
    <mergeCell ref="K80:K81"/>
    <mergeCell ref="N80:N81"/>
    <mergeCell ref="B82:B83"/>
    <mergeCell ref="H82:H83"/>
    <mergeCell ref="K82:K83"/>
    <mergeCell ref="N82:N83"/>
    <mergeCell ref="B102:B103"/>
    <mergeCell ref="H102:H103"/>
    <mergeCell ref="K102:K103"/>
    <mergeCell ref="N102:N103"/>
    <mergeCell ref="B104:B105"/>
    <mergeCell ref="H104:H105"/>
    <mergeCell ref="K104:K105"/>
    <mergeCell ref="N104:N105"/>
    <mergeCell ref="B100:B101"/>
    <mergeCell ref="H100:H101"/>
    <mergeCell ref="K100:K101"/>
    <mergeCell ref="N100:N101"/>
    <mergeCell ref="B58:B59"/>
    <mergeCell ref="H58:H59"/>
    <mergeCell ref="K58:K59"/>
    <mergeCell ref="N58:N59"/>
    <mergeCell ref="A2:A97"/>
    <mergeCell ref="B96:B97"/>
    <mergeCell ref="H96:H97"/>
    <mergeCell ref="K96:K97"/>
    <mergeCell ref="N96:N97"/>
    <mergeCell ref="B92:B93"/>
    <mergeCell ref="H92:H93"/>
    <mergeCell ref="K92:K93"/>
    <mergeCell ref="N92:N93"/>
    <mergeCell ref="B94:B95"/>
    <mergeCell ref="H94:H95"/>
    <mergeCell ref="K94:K95"/>
    <mergeCell ref="N94:N95"/>
    <mergeCell ref="B88:B89"/>
    <mergeCell ref="H88:H89"/>
    <mergeCell ref="K88:K89"/>
    <mergeCell ref="N116:N117"/>
    <mergeCell ref="B110:B111"/>
    <mergeCell ref="H110:H111"/>
    <mergeCell ref="K110:K111"/>
    <mergeCell ref="N110:N111"/>
    <mergeCell ref="B112:B113"/>
    <mergeCell ref="H112:H113"/>
    <mergeCell ref="K112:K113"/>
    <mergeCell ref="N112:N113"/>
    <mergeCell ref="B106:B107"/>
    <mergeCell ref="H106:H107"/>
    <mergeCell ref="K106:K107"/>
    <mergeCell ref="N106:N107"/>
    <mergeCell ref="B108:B109"/>
    <mergeCell ref="H108:H109"/>
    <mergeCell ref="K108:K109"/>
    <mergeCell ref="N108:N109"/>
    <mergeCell ref="A98:A133"/>
    <mergeCell ref="B126:B127"/>
    <mergeCell ref="H126:H127"/>
    <mergeCell ref="K126:K127"/>
    <mergeCell ref="N126:N127"/>
    <mergeCell ref="B128:B129"/>
    <mergeCell ref="H128:H129"/>
    <mergeCell ref="K128:K129"/>
    <mergeCell ref="N128:N129"/>
    <mergeCell ref="B122:B123"/>
    <mergeCell ref="H122:H123"/>
    <mergeCell ref="K122:K123"/>
    <mergeCell ref="N122:N123"/>
    <mergeCell ref="B124:B125"/>
    <mergeCell ref="H124:H125"/>
    <mergeCell ref="K124:K125"/>
    <mergeCell ref="N124:N125"/>
    <mergeCell ref="B118:B119"/>
    <mergeCell ref="H118:H119"/>
    <mergeCell ref="K118:K119"/>
    <mergeCell ref="N118:N119"/>
    <mergeCell ref="B120:B121"/>
    <mergeCell ref="H120:H121"/>
    <mergeCell ref="K120:K121"/>
    <mergeCell ref="N120:N121"/>
    <mergeCell ref="B114:B115"/>
    <mergeCell ref="H114:H115"/>
    <mergeCell ref="K114:K115"/>
    <mergeCell ref="N114:N115"/>
    <mergeCell ref="B116:B117"/>
    <mergeCell ref="H116:H117"/>
    <mergeCell ref="K116:K117"/>
    <mergeCell ref="N140:N141"/>
    <mergeCell ref="B134:B135"/>
    <mergeCell ref="H134:H135"/>
    <mergeCell ref="K134:K135"/>
    <mergeCell ref="N134:N135"/>
    <mergeCell ref="B136:B137"/>
    <mergeCell ref="H136:H137"/>
    <mergeCell ref="K136:K137"/>
    <mergeCell ref="N136:N137"/>
    <mergeCell ref="B130:B131"/>
    <mergeCell ref="H130:H131"/>
    <mergeCell ref="K130:K131"/>
    <mergeCell ref="N130:N131"/>
    <mergeCell ref="B132:B133"/>
    <mergeCell ref="H132:H133"/>
    <mergeCell ref="K132:K133"/>
    <mergeCell ref="N132:N133"/>
    <mergeCell ref="A134:A157"/>
    <mergeCell ref="B150:B151"/>
    <mergeCell ref="H150:H151"/>
    <mergeCell ref="K150:K151"/>
    <mergeCell ref="N150:N151"/>
    <mergeCell ref="B152:B153"/>
    <mergeCell ref="H152:H153"/>
    <mergeCell ref="K152:K153"/>
    <mergeCell ref="N152:N153"/>
    <mergeCell ref="B146:B147"/>
    <mergeCell ref="H146:H147"/>
    <mergeCell ref="K146:K147"/>
    <mergeCell ref="N146:N147"/>
    <mergeCell ref="B148:B149"/>
    <mergeCell ref="H148:H149"/>
    <mergeCell ref="K148:K149"/>
    <mergeCell ref="N148:N149"/>
    <mergeCell ref="B142:B143"/>
    <mergeCell ref="H142:H143"/>
    <mergeCell ref="K142:K143"/>
    <mergeCell ref="N142:N143"/>
    <mergeCell ref="B144:B145"/>
    <mergeCell ref="H144:H145"/>
    <mergeCell ref="K144:K145"/>
    <mergeCell ref="N144:N145"/>
    <mergeCell ref="B138:B139"/>
    <mergeCell ref="H138:H139"/>
    <mergeCell ref="K138:K139"/>
    <mergeCell ref="N138:N139"/>
    <mergeCell ref="B140:B141"/>
    <mergeCell ref="H140:H141"/>
    <mergeCell ref="K140:K141"/>
    <mergeCell ref="B162:B163"/>
    <mergeCell ref="H162:H163"/>
    <mergeCell ref="K162:K163"/>
    <mergeCell ref="N162:N163"/>
    <mergeCell ref="B164:B165"/>
    <mergeCell ref="H164:H165"/>
    <mergeCell ref="K164:K165"/>
    <mergeCell ref="N164:N165"/>
    <mergeCell ref="B158:B159"/>
    <mergeCell ref="H158:H159"/>
    <mergeCell ref="K158:K159"/>
    <mergeCell ref="N158:N159"/>
    <mergeCell ref="B160:B161"/>
    <mergeCell ref="H160:H161"/>
    <mergeCell ref="K160:K161"/>
    <mergeCell ref="N160:N161"/>
    <mergeCell ref="B154:B155"/>
    <mergeCell ref="H154:H155"/>
    <mergeCell ref="K154:K155"/>
    <mergeCell ref="N154:N155"/>
    <mergeCell ref="B156:B157"/>
    <mergeCell ref="H156:H157"/>
    <mergeCell ref="K156:K157"/>
    <mergeCell ref="N156:N157"/>
    <mergeCell ref="N176:N177"/>
    <mergeCell ref="B170:B171"/>
    <mergeCell ref="H170:H171"/>
    <mergeCell ref="K170:K171"/>
    <mergeCell ref="N170:N171"/>
    <mergeCell ref="B172:B173"/>
    <mergeCell ref="H172:H173"/>
    <mergeCell ref="K172:K173"/>
    <mergeCell ref="N172:N173"/>
    <mergeCell ref="B166:B167"/>
    <mergeCell ref="H166:H167"/>
    <mergeCell ref="K166:K167"/>
    <mergeCell ref="N166:N167"/>
    <mergeCell ref="B168:B169"/>
    <mergeCell ref="H168:H169"/>
    <mergeCell ref="K168:K169"/>
    <mergeCell ref="N168:N169"/>
    <mergeCell ref="B186:B187"/>
    <mergeCell ref="H186:H187"/>
    <mergeCell ref="K186:K187"/>
    <mergeCell ref="N186:N187"/>
    <mergeCell ref="B188:B189"/>
    <mergeCell ref="H188:H189"/>
    <mergeCell ref="K188:K189"/>
    <mergeCell ref="N188:N189"/>
    <mergeCell ref="B182:B183"/>
    <mergeCell ref="H182:H183"/>
    <mergeCell ref="K182:K183"/>
    <mergeCell ref="N182:N183"/>
    <mergeCell ref="B184:B185"/>
    <mergeCell ref="H184:H185"/>
    <mergeCell ref="K184:K185"/>
    <mergeCell ref="N184:N185"/>
    <mergeCell ref="A158:A185"/>
    <mergeCell ref="B178:B179"/>
    <mergeCell ref="H178:H179"/>
    <mergeCell ref="K178:K179"/>
    <mergeCell ref="N178:N179"/>
    <mergeCell ref="B180:B181"/>
    <mergeCell ref="H180:H181"/>
    <mergeCell ref="K180:K181"/>
    <mergeCell ref="N180:N181"/>
    <mergeCell ref="B174:B175"/>
    <mergeCell ref="H174:H175"/>
    <mergeCell ref="K174:K175"/>
    <mergeCell ref="N174:N175"/>
    <mergeCell ref="B176:B177"/>
    <mergeCell ref="H176:H177"/>
    <mergeCell ref="K176:K177"/>
    <mergeCell ref="B194:B195"/>
    <mergeCell ref="H194:H195"/>
    <mergeCell ref="K194:K195"/>
    <mergeCell ref="N194:N195"/>
    <mergeCell ref="B196:B197"/>
    <mergeCell ref="H196:H197"/>
    <mergeCell ref="K196:K197"/>
    <mergeCell ref="N196:N197"/>
    <mergeCell ref="B190:B191"/>
    <mergeCell ref="H190:H191"/>
    <mergeCell ref="K190:K191"/>
    <mergeCell ref="N190:N191"/>
    <mergeCell ref="B192:B193"/>
    <mergeCell ref="H192:H193"/>
    <mergeCell ref="K192:K193"/>
    <mergeCell ref="N192:N193"/>
    <mergeCell ref="B202:B203"/>
    <mergeCell ref="H202:H203"/>
    <mergeCell ref="K202:K203"/>
    <mergeCell ref="N202:N203"/>
    <mergeCell ref="B204:B205"/>
    <mergeCell ref="H204:H205"/>
    <mergeCell ref="K204:K205"/>
    <mergeCell ref="N204:N205"/>
    <mergeCell ref="B198:B199"/>
    <mergeCell ref="H198:H199"/>
    <mergeCell ref="K198:K199"/>
    <mergeCell ref="N198:N199"/>
    <mergeCell ref="B200:B201"/>
    <mergeCell ref="H200:H201"/>
    <mergeCell ref="K200:K201"/>
    <mergeCell ref="N200:N201"/>
    <mergeCell ref="B210:B211"/>
    <mergeCell ref="H210:H211"/>
    <mergeCell ref="K210:K211"/>
    <mergeCell ref="N210:N211"/>
    <mergeCell ref="B212:B213"/>
    <mergeCell ref="H212:H213"/>
    <mergeCell ref="K212:K213"/>
    <mergeCell ref="N212:N213"/>
    <mergeCell ref="B206:B207"/>
    <mergeCell ref="H206:H207"/>
    <mergeCell ref="K206:K207"/>
    <mergeCell ref="N206:N207"/>
    <mergeCell ref="B208:B209"/>
    <mergeCell ref="H208:H209"/>
    <mergeCell ref="K208:K209"/>
    <mergeCell ref="N208:N209"/>
    <mergeCell ref="B218:B219"/>
    <mergeCell ref="H218:H219"/>
    <mergeCell ref="K218:K219"/>
    <mergeCell ref="N218:N219"/>
    <mergeCell ref="B220:B221"/>
    <mergeCell ref="H220:H221"/>
    <mergeCell ref="K220:K221"/>
    <mergeCell ref="N220:N221"/>
    <mergeCell ref="B214:B215"/>
    <mergeCell ref="H214:H215"/>
    <mergeCell ref="K214:K215"/>
    <mergeCell ref="N214:N215"/>
    <mergeCell ref="B216:B217"/>
    <mergeCell ref="H216:H217"/>
    <mergeCell ref="K216:K217"/>
    <mergeCell ref="N216:N217"/>
    <mergeCell ref="B226:B227"/>
    <mergeCell ref="H226:H227"/>
    <mergeCell ref="K226:K227"/>
    <mergeCell ref="N226:N227"/>
    <mergeCell ref="B230:B231"/>
    <mergeCell ref="H230:H231"/>
    <mergeCell ref="K230:K231"/>
    <mergeCell ref="N230:N231"/>
    <mergeCell ref="B232:B233"/>
    <mergeCell ref="H232:H233"/>
    <mergeCell ref="K232:K233"/>
    <mergeCell ref="N232:N233"/>
    <mergeCell ref="B242:B243"/>
    <mergeCell ref="H242:H243"/>
    <mergeCell ref="K242:K243"/>
    <mergeCell ref="N242:N243"/>
    <mergeCell ref="B228:B229"/>
    <mergeCell ref="H228:H229"/>
    <mergeCell ref="K228:K229"/>
    <mergeCell ref="N228:N229"/>
    <mergeCell ref="B222:B223"/>
    <mergeCell ref="H222:H223"/>
    <mergeCell ref="K222:K223"/>
    <mergeCell ref="N222:N223"/>
    <mergeCell ref="B224:B225"/>
    <mergeCell ref="H224:H225"/>
    <mergeCell ref="K224:K225"/>
    <mergeCell ref="N224:N225"/>
    <mergeCell ref="B234:B235"/>
    <mergeCell ref="H234:H235"/>
    <mergeCell ref="K234:K235"/>
    <mergeCell ref="N234:N235"/>
    <mergeCell ref="B244:B245"/>
    <mergeCell ref="H244:H245"/>
    <mergeCell ref="K244:K245"/>
    <mergeCell ref="N244:N245"/>
    <mergeCell ref="B238:B239"/>
    <mergeCell ref="H238:H239"/>
    <mergeCell ref="K238:K239"/>
    <mergeCell ref="N238:N239"/>
    <mergeCell ref="B240:B241"/>
    <mergeCell ref="H240:H241"/>
    <mergeCell ref="K240:K241"/>
    <mergeCell ref="N240:N241"/>
    <mergeCell ref="B250:B251"/>
    <mergeCell ref="H250:H251"/>
    <mergeCell ref="K250:K251"/>
    <mergeCell ref="N250:N251"/>
    <mergeCell ref="B236:B237"/>
    <mergeCell ref="H236:H237"/>
    <mergeCell ref="K236:K237"/>
    <mergeCell ref="N236:N237"/>
    <mergeCell ref="B254:B255"/>
    <mergeCell ref="H254:H255"/>
    <mergeCell ref="K254:K255"/>
    <mergeCell ref="N254:N255"/>
    <mergeCell ref="B256:B257"/>
    <mergeCell ref="H256:H257"/>
    <mergeCell ref="K256:K257"/>
    <mergeCell ref="N256:N257"/>
    <mergeCell ref="B266:B267"/>
    <mergeCell ref="H266:H267"/>
    <mergeCell ref="K266:K267"/>
    <mergeCell ref="N266:N267"/>
    <mergeCell ref="B252:B253"/>
    <mergeCell ref="H252:H253"/>
    <mergeCell ref="K252:K253"/>
    <mergeCell ref="N252:N253"/>
    <mergeCell ref="B246:B247"/>
    <mergeCell ref="H246:H247"/>
    <mergeCell ref="K246:K247"/>
    <mergeCell ref="N246:N247"/>
    <mergeCell ref="B248:B249"/>
    <mergeCell ref="H248:H249"/>
    <mergeCell ref="K248:K249"/>
    <mergeCell ref="N248:N249"/>
    <mergeCell ref="B258:B259"/>
    <mergeCell ref="H258:H259"/>
    <mergeCell ref="K258:K259"/>
    <mergeCell ref="N258:N259"/>
    <mergeCell ref="B268:B269"/>
    <mergeCell ref="H268:H269"/>
    <mergeCell ref="K268:K269"/>
    <mergeCell ref="N268:N269"/>
    <mergeCell ref="B262:B263"/>
    <mergeCell ref="H262:H263"/>
    <mergeCell ref="K262:K263"/>
    <mergeCell ref="N262:N263"/>
    <mergeCell ref="B264:B265"/>
    <mergeCell ref="H264:H265"/>
    <mergeCell ref="K264:K265"/>
    <mergeCell ref="N264:N265"/>
    <mergeCell ref="B274:B275"/>
    <mergeCell ref="H274:H275"/>
    <mergeCell ref="K274:K275"/>
    <mergeCell ref="N274:N275"/>
    <mergeCell ref="B260:B261"/>
    <mergeCell ref="H260:H261"/>
    <mergeCell ref="K260:K261"/>
    <mergeCell ref="N260:N261"/>
    <mergeCell ref="B278:B279"/>
    <mergeCell ref="H278:H279"/>
    <mergeCell ref="K278:K279"/>
    <mergeCell ref="N278:N279"/>
    <mergeCell ref="B280:B281"/>
    <mergeCell ref="H280:H281"/>
    <mergeCell ref="K280:K281"/>
    <mergeCell ref="N280:N281"/>
    <mergeCell ref="B290:B291"/>
    <mergeCell ref="H290:H291"/>
    <mergeCell ref="K290:K291"/>
    <mergeCell ref="N290:N291"/>
    <mergeCell ref="B276:B277"/>
    <mergeCell ref="H276:H277"/>
    <mergeCell ref="K276:K277"/>
    <mergeCell ref="N276:N277"/>
    <mergeCell ref="B270:B271"/>
    <mergeCell ref="H270:H271"/>
    <mergeCell ref="K270:K271"/>
    <mergeCell ref="N270:N271"/>
    <mergeCell ref="B272:B273"/>
    <mergeCell ref="H272:H273"/>
    <mergeCell ref="K272:K273"/>
    <mergeCell ref="N272:N273"/>
    <mergeCell ref="B282:B283"/>
    <mergeCell ref="H282:H283"/>
    <mergeCell ref="K282:K283"/>
    <mergeCell ref="N282:N283"/>
    <mergeCell ref="B292:B293"/>
    <mergeCell ref="H292:H293"/>
    <mergeCell ref="K292:K293"/>
    <mergeCell ref="N292:N293"/>
    <mergeCell ref="B286:B287"/>
    <mergeCell ref="H286:H287"/>
    <mergeCell ref="K286:K287"/>
    <mergeCell ref="N286:N287"/>
    <mergeCell ref="B288:B289"/>
    <mergeCell ref="H288:H289"/>
    <mergeCell ref="K288:K289"/>
    <mergeCell ref="N288:N289"/>
    <mergeCell ref="B298:B299"/>
    <mergeCell ref="H298:H299"/>
    <mergeCell ref="K298:K299"/>
    <mergeCell ref="N298:N299"/>
    <mergeCell ref="B284:B285"/>
    <mergeCell ref="H284:H285"/>
    <mergeCell ref="K284:K285"/>
    <mergeCell ref="N284:N285"/>
    <mergeCell ref="B302:B303"/>
    <mergeCell ref="H302:H303"/>
    <mergeCell ref="K302:K303"/>
    <mergeCell ref="N302:N303"/>
    <mergeCell ref="B304:B305"/>
    <mergeCell ref="H304:H305"/>
    <mergeCell ref="K304:K305"/>
    <mergeCell ref="N304:N305"/>
    <mergeCell ref="B314:B315"/>
    <mergeCell ref="H314:H315"/>
    <mergeCell ref="K314:K315"/>
    <mergeCell ref="N314:N315"/>
    <mergeCell ref="B300:B301"/>
    <mergeCell ref="H300:H301"/>
    <mergeCell ref="K300:K301"/>
    <mergeCell ref="N300:N301"/>
    <mergeCell ref="B294:B295"/>
    <mergeCell ref="H294:H295"/>
    <mergeCell ref="K294:K295"/>
    <mergeCell ref="N294:N295"/>
    <mergeCell ref="B296:B297"/>
    <mergeCell ref="H296:H297"/>
    <mergeCell ref="K296:K297"/>
    <mergeCell ref="N296:N297"/>
    <mergeCell ref="B306:B307"/>
    <mergeCell ref="H306:H307"/>
    <mergeCell ref="K306:K307"/>
    <mergeCell ref="N306:N307"/>
    <mergeCell ref="B316:B317"/>
    <mergeCell ref="H316:H317"/>
    <mergeCell ref="K316:K317"/>
    <mergeCell ref="N316:N317"/>
    <mergeCell ref="B310:B311"/>
    <mergeCell ref="H310:H311"/>
    <mergeCell ref="K310:K311"/>
    <mergeCell ref="N310:N311"/>
    <mergeCell ref="B312:B313"/>
    <mergeCell ref="H312:H313"/>
    <mergeCell ref="K312:K313"/>
    <mergeCell ref="N312:N313"/>
    <mergeCell ref="B322:B323"/>
    <mergeCell ref="H322:H323"/>
    <mergeCell ref="K322:K323"/>
    <mergeCell ref="N322:N323"/>
    <mergeCell ref="B308:B309"/>
    <mergeCell ref="H308:H309"/>
    <mergeCell ref="K308:K309"/>
    <mergeCell ref="N308:N309"/>
    <mergeCell ref="B326:B327"/>
    <mergeCell ref="H326:H327"/>
    <mergeCell ref="K326:K327"/>
    <mergeCell ref="N326:N327"/>
    <mergeCell ref="B328:B329"/>
    <mergeCell ref="H328:H329"/>
    <mergeCell ref="K328:K329"/>
    <mergeCell ref="N328:N329"/>
    <mergeCell ref="B338:B339"/>
    <mergeCell ref="H338:H339"/>
    <mergeCell ref="K338:K339"/>
    <mergeCell ref="N338:N339"/>
    <mergeCell ref="B324:B325"/>
    <mergeCell ref="H324:H325"/>
    <mergeCell ref="K324:K325"/>
    <mergeCell ref="N324:N325"/>
    <mergeCell ref="B318:B319"/>
    <mergeCell ref="H318:H319"/>
    <mergeCell ref="K318:K319"/>
    <mergeCell ref="N318:N319"/>
    <mergeCell ref="B320:B321"/>
    <mergeCell ref="H320:H321"/>
    <mergeCell ref="K320:K321"/>
    <mergeCell ref="N320:N321"/>
    <mergeCell ref="B330:B331"/>
    <mergeCell ref="H330:H331"/>
    <mergeCell ref="K330:K331"/>
    <mergeCell ref="N330:N331"/>
    <mergeCell ref="B340:B341"/>
    <mergeCell ref="H340:H341"/>
    <mergeCell ref="K340:K341"/>
    <mergeCell ref="N340:N341"/>
    <mergeCell ref="B334:B335"/>
    <mergeCell ref="H334:H335"/>
    <mergeCell ref="K334:K335"/>
    <mergeCell ref="N334:N335"/>
    <mergeCell ref="B336:B337"/>
    <mergeCell ref="H336:H337"/>
    <mergeCell ref="K336:K337"/>
    <mergeCell ref="N336:N337"/>
    <mergeCell ref="B346:B347"/>
    <mergeCell ref="H346:H347"/>
    <mergeCell ref="K346:K347"/>
    <mergeCell ref="N346:N347"/>
    <mergeCell ref="B332:B333"/>
    <mergeCell ref="H332:H333"/>
    <mergeCell ref="K332:K333"/>
    <mergeCell ref="N332:N333"/>
    <mergeCell ref="B348:B349"/>
    <mergeCell ref="H348:H349"/>
    <mergeCell ref="K348:K349"/>
    <mergeCell ref="N348:N349"/>
    <mergeCell ref="B342:B343"/>
    <mergeCell ref="H342:H343"/>
    <mergeCell ref="K342:K343"/>
    <mergeCell ref="N342:N343"/>
    <mergeCell ref="B344:B345"/>
    <mergeCell ref="H344:H345"/>
    <mergeCell ref="K344:K345"/>
    <mergeCell ref="N344:N345"/>
    <mergeCell ref="B354:B355"/>
    <mergeCell ref="H354:H355"/>
    <mergeCell ref="K354:K355"/>
    <mergeCell ref="N354:N355"/>
    <mergeCell ref="A352:A367"/>
    <mergeCell ref="B356:B357"/>
    <mergeCell ref="H356:H357"/>
    <mergeCell ref="K356:K357"/>
    <mergeCell ref="N356:N357"/>
    <mergeCell ref="B350:B351"/>
    <mergeCell ref="H350:H351"/>
    <mergeCell ref="K350:K351"/>
    <mergeCell ref="N350:N351"/>
    <mergeCell ref="B352:B353"/>
    <mergeCell ref="H352:H353"/>
    <mergeCell ref="K352:K353"/>
    <mergeCell ref="N352:N353"/>
    <mergeCell ref="B362:B363"/>
    <mergeCell ref="H362:H363"/>
    <mergeCell ref="K362:K363"/>
    <mergeCell ref="K374:K375"/>
    <mergeCell ref="N374:N375"/>
    <mergeCell ref="B376:B377"/>
    <mergeCell ref="H376:H377"/>
    <mergeCell ref="K376:K377"/>
    <mergeCell ref="N376:N377"/>
    <mergeCell ref="N362:N363"/>
    <mergeCell ref="B364:B365"/>
    <mergeCell ref="H364:H365"/>
    <mergeCell ref="K364:K365"/>
    <mergeCell ref="N364:N365"/>
    <mergeCell ref="B358:B359"/>
    <mergeCell ref="H358:H359"/>
    <mergeCell ref="K358:K359"/>
    <mergeCell ref="N358:N359"/>
    <mergeCell ref="B360:B361"/>
    <mergeCell ref="H360:H361"/>
    <mergeCell ref="K360:K361"/>
    <mergeCell ref="N360:N361"/>
    <mergeCell ref="B370:B371"/>
    <mergeCell ref="H370:H371"/>
    <mergeCell ref="K370:K371"/>
    <mergeCell ref="N370:N371"/>
    <mergeCell ref="N388:N389"/>
    <mergeCell ref="B382:B383"/>
    <mergeCell ref="H382:H383"/>
    <mergeCell ref="K382:K383"/>
    <mergeCell ref="N382:N383"/>
    <mergeCell ref="B384:B385"/>
    <mergeCell ref="H384:H385"/>
    <mergeCell ref="K384:K385"/>
    <mergeCell ref="N384:N385"/>
    <mergeCell ref="A368:A383"/>
    <mergeCell ref="B372:B373"/>
    <mergeCell ref="H372:H373"/>
    <mergeCell ref="K372:K373"/>
    <mergeCell ref="N372:N373"/>
    <mergeCell ref="B366:B367"/>
    <mergeCell ref="H366:H367"/>
    <mergeCell ref="K366:K367"/>
    <mergeCell ref="N366:N367"/>
    <mergeCell ref="B368:B369"/>
    <mergeCell ref="H368:H369"/>
    <mergeCell ref="K368:K369"/>
    <mergeCell ref="N368:N369"/>
    <mergeCell ref="B378:B379"/>
    <mergeCell ref="H378:H379"/>
    <mergeCell ref="K378:K379"/>
    <mergeCell ref="N378:N379"/>
    <mergeCell ref="B380:B381"/>
    <mergeCell ref="H380:H381"/>
    <mergeCell ref="K380:K381"/>
    <mergeCell ref="N380:N381"/>
    <mergeCell ref="B374:B375"/>
    <mergeCell ref="H374:H375"/>
    <mergeCell ref="B398:B399"/>
    <mergeCell ref="H398:H399"/>
    <mergeCell ref="K398:K399"/>
    <mergeCell ref="N398:N399"/>
    <mergeCell ref="B400:B401"/>
    <mergeCell ref="H400:H401"/>
    <mergeCell ref="K400:K401"/>
    <mergeCell ref="N400:N401"/>
    <mergeCell ref="A384:A405"/>
    <mergeCell ref="B394:B395"/>
    <mergeCell ref="H394:H395"/>
    <mergeCell ref="K394:K395"/>
    <mergeCell ref="N394:N395"/>
    <mergeCell ref="B396:B397"/>
    <mergeCell ref="H396:H397"/>
    <mergeCell ref="K396:K397"/>
    <mergeCell ref="N396:N397"/>
    <mergeCell ref="B390:B391"/>
    <mergeCell ref="H390:H391"/>
    <mergeCell ref="K390:K391"/>
    <mergeCell ref="N390:N391"/>
    <mergeCell ref="B392:B393"/>
    <mergeCell ref="H392:H393"/>
    <mergeCell ref="K392:K393"/>
    <mergeCell ref="N392:N393"/>
    <mergeCell ref="B386:B387"/>
    <mergeCell ref="H386:H387"/>
    <mergeCell ref="K386:K387"/>
    <mergeCell ref="N386:N387"/>
    <mergeCell ref="B388:B389"/>
    <mergeCell ref="H388:H389"/>
    <mergeCell ref="K388:K389"/>
    <mergeCell ref="N412:N413"/>
    <mergeCell ref="B406:B407"/>
    <mergeCell ref="H406:H407"/>
    <mergeCell ref="K406:K407"/>
    <mergeCell ref="N406:N407"/>
    <mergeCell ref="B408:B409"/>
    <mergeCell ref="H408:H409"/>
    <mergeCell ref="K408:K409"/>
    <mergeCell ref="N408:N409"/>
    <mergeCell ref="B402:B403"/>
    <mergeCell ref="H402:H403"/>
    <mergeCell ref="K402:K403"/>
    <mergeCell ref="N402:N403"/>
    <mergeCell ref="B404:B405"/>
    <mergeCell ref="H404:H405"/>
    <mergeCell ref="K404:K405"/>
    <mergeCell ref="N404:N405"/>
    <mergeCell ref="B422:B423"/>
    <mergeCell ref="H422:H423"/>
    <mergeCell ref="K422:K423"/>
    <mergeCell ref="N422:N423"/>
    <mergeCell ref="B424:B425"/>
    <mergeCell ref="H424:H425"/>
    <mergeCell ref="K424:K425"/>
    <mergeCell ref="N424:N425"/>
    <mergeCell ref="A406:A425"/>
    <mergeCell ref="B418:B419"/>
    <mergeCell ref="H418:H419"/>
    <mergeCell ref="K418:K419"/>
    <mergeCell ref="N418:N419"/>
    <mergeCell ref="B420:B421"/>
    <mergeCell ref="H420:H421"/>
    <mergeCell ref="K420:K421"/>
    <mergeCell ref="N420:N421"/>
    <mergeCell ref="B414:B415"/>
    <mergeCell ref="H414:H415"/>
    <mergeCell ref="K414:K415"/>
    <mergeCell ref="N414:N415"/>
    <mergeCell ref="B416:B417"/>
    <mergeCell ref="H416:H417"/>
    <mergeCell ref="K416:K417"/>
    <mergeCell ref="N416:N417"/>
    <mergeCell ref="B410:B411"/>
    <mergeCell ref="H410:H411"/>
    <mergeCell ref="K410:K411"/>
    <mergeCell ref="N410:N411"/>
    <mergeCell ref="B412:B413"/>
    <mergeCell ref="H412:H413"/>
    <mergeCell ref="K412:K413"/>
    <mergeCell ref="B434:B435"/>
    <mergeCell ref="H434:H435"/>
    <mergeCell ref="K434:K435"/>
    <mergeCell ref="N434:N435"/>
    <mergeCell ref="B436:B437"/>
    <mergeCell ref="H436:H437"/>
    <mergeCell ref="K436:K437"/>
    <mergeCell ref="N436:N437"/>
    <mergeCell ref="B430:B431"/>
    <mergeCell ref="H430:H431"/>
    <mergeCell ref="K430:K431"/>
    <mergeCell ref="N430:N431"/>
    <mergeCell ref="B432:B433"/>
    <mergeCell ref="H432:H433"/>
    <mergeCell ref="K432:K433"/>
    <mergeCell ref="N432:N433"/>
    <mergeCell ref="B426:B427"/>
    <mergeCell ref="H426:H427"/>
    <mergeCell ref="K426:K427"/>
    <mergeCell ref="N426:N427"/>
    <mergeCell ref="B428:B429"/>
    <mergeCell ref="H428:H429"/>
    <mergeCell ref="K428:K429"/>
    <mergeCell ref="N428:N429"/>
    <mergeCell ref="B446:B447"/>
    <mergeCell ref="H446:H447"/>
    <mergeCell ref="K446:K447"/>
    <mergeCell ref="N446:N447"/>
    <mergeCell ref="B448:B449"/>
    <mergeCell ref="H448:H449"/>
    <mergeCell ref="K448:K449"/>
    <mergeCell ref="N448:N449"/>
    <mergeCell ref="B442:B443"/>
    <mergeCell ref="H442:H443"/>
    <mergeCell ref="K442:K443"/>
    <mergeCell ref="N442:N443"/>
    <mergeCell ref="B444:B445"/>
    <mergeCell ref="H444:H445"/>
    <mergeCell ref="K444:K445"/>
    <mergeCell ref="N444:N445"/>
    <mergeCell ref="B438:B439"/>
    <mergeCell ref="H438:H439"/>
    <mergeCell ref="K438:K439"/>
    <mergeCell ref="N438:N439"/>
    <mergeCell ref="B440:B441"/>
    <mergeCell ref="H440:H441"/>
    <mergeCell ref="K440:K441"/>
    <mergeCell ref="N440:N441"/>
    <mergeCell ref="B458:B459"/>
    <mergeCell ref="H458:H459"/>
    <mergeCell ref="K458:K459"/>
    <mergeCell ref="N458:N459"/>
    <mergeCell ref="B460:B461"/>
    <mergeCell ref="H460:H461"/>
    <mergeCell ref="K460:K461"/>
    <mergeCell ref="N460:N461"/>
    <mergeCell ref="B454:B455"/>
    <mergeCell ref="H454:H455"/>
    <mergeCell ref="K454:K455"/>
    <mergeCell ref="N454:N455"/>
    <mergeCell ref="B456:B457"/>
    <mergeCell ref="H456:H457"/>
    <mergeCell ref="K456:K457"/>
    <mergeCell ref="N456:N457"/>
    <mergeCell ref="B450:B451"/>
    <mergeCell ref="H450:H451"/>
    <mergeCell ref="K450:K451"/>
    <mergeCell ref="N450:N451"/>
    <mergeCell ref="B452:B453"/>
    <mergeCell ref="H452:H453"/>
    <mergeCell ref="K452:K453"/>
    <mergeCell ref="N452:N453"/>
    <mergeCell ref="B470:B471"/>
    <mergeCell ref="H470:H471"/>
    <mergeCell ref="K470:K471"/>
    <mergeCell ref="N470:N471"/>
    <mergeCell ref="B472:B473"/>
    <mergeCell ref="H472:H473"/>
    <mergeCell ref="K472:K473"/>
    <mergeCell ref="N472:N473"/>
    <mergeCell ref="B466:B467"/>
    <mergeCell ref="H466:H467"/>
    <mergeCell ref="K466:K467"/>
    <mergeCell ref="N466:N467"/>
    <mergeCell ref="B468:B469"/>
    <mergeCell ref="H468:H469"/>
    <mergeCell ref="K468:K469"/>
    <mergeCell ref="N468:N469"/>
    <mergeCell ref="B462:B463"/>
    <mergeCell ref="H462:H463"/>
    <mergeCell ref="K462:K463"/>
    <mergeCell ref="N462:N463"/>
    <mergeCell ref="B464:B465"/>
    <mergeCell ref="H464:H465"/>
    <mergeCell ref="K464:K465"/>
    <mergeCell ref="N464:N465"/>
    <mergeCell ref="B482:B483"/>
    <mergeCell ref="H482:H483"/>
    <mergeCell ref="K482:K483"/>
    <mergeCell ref="N482:N483"/>
    <mergeCell ref="B484:B485"/>
    <mergeCell ref="H484:H485"/>
    <mergeCell ref="K484:K485"/>
    <mergeCell ref="N484:N485"/>
    <mergeCell ref="B478:B479"/>
    <mergeCell ref="H478:H479"/>
    <mergeCell ref="K478:K479"/>
    <mergeCell ref="N478:N479"/>
    <mergeCell ref="B480:B481"/>
    <mergeCell ref="H480:H481"/>
    <mergeCell ref="K480:K481"/>
    <mergeCell ref="N480:N481"/>
    <mergeCell ref="B474:B475"/>
    <mergeCell ref="H474:H475"/>
    <mergeCell ref="K474:K475"/>
    <mergeCell ref="N474:N475"/>
    <mergeCell ref="B476:B477"/>
    <mergeCell ref="H476:H477"/>
    <mergeCell ref="K476:K477"/>
    <mergeCell ref="N476:N477"/>
    <mergeCell ref="N496:N497"/>
    <mergeCell ref="B490:B491"/>
    <mergeCell ref="H490:H491"/>
    <mergeCell ref="K490:K491"/>
    <mergeCell ref="N490:N491"/>
    <mergeCell ref="B506:B507"/>
    <mergeCell ref="H506:H507"/>
    <mergeCell ref="K506:K507"/>
    <mergeCell ref="N506:N507"/>
    <mergeCell ref="B492:B493"/>
    <mergeCell ref="H492:H493"/>
    <mergeCell ref="K492:K493"/>
    <mergeCell ref="N492:N493"/>
    <mergeCell ref="B486:B487"/>
    <mergeCell ref="H486:H487"/>
    <mergeCell ref="K486:K487"/>
    <mergeCell ref="N486:N487"/>
    <mergeCell ref="B488:B489"/>
    <mergeCell ref="H488:H489"/>
    <mergeCell ref="K488:K489"/>
    <mergeCell ref="N488:N489"/>
    <mergeCell ref="B498:B499"/>
    <mergeCell ref="H498:H499"/>
    <mergeCell ref="K498:K499"/>
    <mergeCell ref="N498:N499"/>
    <mergeCell ref="U21:AA21"/>
    <mergeCell ref="U22:AA22"/>
    <mergeCell ref="U23:AA23"/>
    <mergeCell ref="A426:A445"/>
    <mergeCell ref="A446:A471"/>
    <mergeCell ref="A472:A503"/>
    <mergeCell ref="A504:A509"/>
    <mergeCell ref="B508:B509"/>
    <mergeCell ref="H508:H509"/>
    <mergeCell ref="K508:K509"/>
    <mergeCell ref="N508:N509"/>
    <mergeCell ref="B502:B503"/>
    <mergeCell ref="H502:H503"/>
    <mergeCell ref="K502:K503"/>
    <mergeCell ref="N502:N503"/>
    <mergeCell ref="B504:B505"/>
    <mergeCell ref="H504:H505"/>
    <mergeCell ref="K504:K505"/>
    <mergeCell ref="N504:N505"/>
    <mergeCell ref="A228:A231"/>
    <mergeCell ref="A232:A351"/>
    <mergeCell ref="B500:B501"/>
    <mergeCell ref="H500:H501"/>
    <mergeCell ref="K500:K501"/>
    <mergeCell ref="N500:N501"/>
    <mergeCell ref="B494:B495"/>
    <mergeCell ref="H494:H495"/>
    <mergeCell ref="K494:K495"/>
    <mergeCell ref="N494:N495"/>
    <mergeCell ref="B496:B497"/>
    <mergeCell ref="H496:H497"/>
    <mergeCell ref="K496:K497"/>
  </mergeCells>
  <phoneticPr fontId="2" type="noConversion"/>
  <pageMargins left="0.7" right="0.7" top="0.75" bottom="0.75" header="0.3" footer="0.3"/>
  <pageSetup paperSize="9" orientation="portrait" r:id="rId1"/>
  <ignoredErrors>
    <ignoredError sqref="G17:G20 M17:M20 J17:J20 G25:G26 J25:J26 M25:M26 M33:M34 G33:G34 J33:J34 F45 G57:G58 M57:M58 J57 G59:G63 J60:J61 J58:J59 M59:M61 G64:G65 J62:J65 M73 M63 M62 M64:M65 M74 J74:J75 M80 G74:G75 G80:G85 J80:J85 M82:M85 G72:G73 J72:J73 M72 G78:G79 J78:J79 G90:G92 J90:J92 M90:M92 K59 K43 N31:N45 H80 J101:J109 M101:M109 G101:G109 K45 K47 K49 K51 K61 K63 K65 K67 N47 G117:G201 J117:J201 J224:J225 J228:J229 G235:G241 J235:J241 G242:G313 J242:J313 G325:G413 J325:J383 M325:M413 M311 M242:M309 M235:M241 M228:M229 M224:M225 M131:M201 M117:M130 M202:M223 M226:M227 M230:M234 M310 G466:G469 J466:J469 M466:M469 G477:G510 J477:J509 M477:M509 J386:J4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의정론 사전투표 데이터_제주까지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수연 윤</dc:creator>
  <cp:lastModifiedBy>수연 윤</cp:lastModifiedBy>
  <dcterms:created xsi:type="dcterms:W3CDTF">2024-04-17T13:41:58Z</dcterms:created>
  <dcterms:modified xsi:type="dcterms:W3CDTF">2024-06-05T06:12:01Z</dcterms:modified>
</cp:coreProperties>
</file>